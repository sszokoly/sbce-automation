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A04F391C-1825-47A2-9A88-961FA9660D70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EMS1" sheetId="2" r:id="rId1"/>
    <sheet name="EMS2" sheetId="5" r:id="rId2"/>
    <sheet name="SBCE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5" l="1"/>
  <c r="B21" i="2"/>
</calcChain>
</file>

<file path=xl/sharedStrings.xml><?xml version="1.0" encoding="utf-8"?>
<sst xmlns="http://schemas.openxmlformats.org/spreadsheetml/2006/main" count="392" uniqueCount="134">
  <si>
    <t>platform_type</t>
  </si>
  <si>
    <t>ESXI</t>
  </si>
  <si>
    <t>Host type</t>
  </si>
  <si>
    <t>platform_address</t>
  </si>
  <si>
    <t>Host IP address or FQDN</t>
  </si>
  <si>
    <t>platform_username</t>
  </si>
  <si>
    <t>root</t>
  </si>
  <si>
    <t>Host user name</t>
  </si>
  <si>
    <t>platform_password</t>
  </si>
  <si>
    <t>cmb@Dm1n</t>
  </si>
  <si>
    <t>Host user password</t>
  </si>
  <si>
    <t>datastore</t>
  </si>
  <si>
    <t>datastore1</t>
  </si>
  <si>
    <t>Datastore Name</t>
  </si>
  <si>
    <t>ovf</t>
  </si>
  <si>
    <t>Path to OVA</t>
  </si>
  <si>
    <t>vmname</t>
  </si>
  <si>
    <t>VM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</si>
  <si>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</si>
  <si>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</si>
  <si>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</si>
  <si>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</si>
  <si>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</si>
  <si>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</si>
  <si>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</si>
  <si>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appname</t>
  </si>
  <si>
    <t>Appliance Name</t>
  </si>
  <si>
    <t>nwpass</t>
  </si>
  <si>
    <t>avaya</t>
  </si>
  <si>
    <t>Network Passphrase: - Network Passphrase for Device</t>
  </si>
  <si>
    <t>ems_inst_type</t>
  </si>
  <si>
    <t>primary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</si>
  <si>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</si>
  <si>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</si>
  <si>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</si>
  <si>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</si>
  <si>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255.255.255.0</t>
  </si>
  <si>
    <t>Netmask: (*) - The IPv4 netmask for the management interface.</t>
  </si>
  <si>
    <t>gateway</t>
  </si>
  <si>
    <t>10.10.48.254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</si>
  <si>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</si>
  <si>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</si>
  <si>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</si>
  <si>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</si>
  <si>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</si>
  <si>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</si>
  <si>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</si>
  <si>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domain_suffix</t>
  </si>
  <si>
    <t>lab.local</t>
  </si>
  <si>
    <t>Domain name</t>
  </si>
  <si>
    <t>first_last_name</t>
  </si>
  <si>
    <t>CN name, usually hostname + domain_suffix (NOT FOR SBCE DEPLOYMENT)</t>
  </si>
  <si>
    <t>organizational_unit</t>
  </si>
  <si>
    <t>IT</t>
  </si>
  <si>
    <t>Organizational Unit (NOT FOR SBCE DEPLOYMENT)</t>
  </si>
  <si>
    <t>organization</t>
  </si>
  <si>
    <t>LAB</t>
  </si>
  <si>
    <t>Organization (NOT FOR SBCE DEPLOYMENT)</t>
  </si>
  <si>
    <t>locality</t>
  </si>
  <si>
    <t>City or Locality (NOT FOR SBCE DEPLOYMENT)</t>
  </si>
  <si>
    <t>state_province</t>
  </si>
  <si>
    <t>AB</t>
  </si>
  <si>
    <t>State or Province (NOT FOR SBCE DEPLOYMENT)</t>
  </si>
  <si>
    <t>country</t>
  </si>
  <si>
    <t>CA</t>
  </si>
  <si>
    <t>Country Code (2 letter code) (NOT FOR SBCE DEPLOYMENT)</t>
  </si>
  <si>
    <t>timezone</t>
  </si>
  <si>
    <t>America/Edmonton</t>
  </si>
  <si>
    <t>Time Zone - Time Zone in which device is located  (for example America/Edmonton)</t>
  </si>
  <si>
    <t>ntpservers</t>
  </si>
  <si>
    <t>10.10.48.250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</si>
  <si>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</si>
  <si>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</si>
  <si>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</si>
  <si>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</si>
  <si>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10.10.48.92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</si>
  <si>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</si>
  <si>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</si>
  <si>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</si>
  <si>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</si>
  <si>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</si>
  <si>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</si>
  <si>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</si>
  <si>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</si>
  <si>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</si>
  <si>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</si>
  <si>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</si>
  <si>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</si>
  <si>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</si>
  <si>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ucsecpass</t>
  </si>
  <si>
    <t>Web ucsec account password</t>
  </si>
  <si>
    <t>M1</t>
  </si>
  <si>
    <t>VLAN48</t>
  </si>
  <si>
    <t>M1 NIC Port-group / Bridge name</t>
  </si>
  <si>
    <t>M2</t>
  </si>
  <si>
    <t>Duplication</t>
  </si>
  <si>
    <t>M2 NIC Port-group / Bridge name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</si>
  <si>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</si>
  <si>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</si>
  <si>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</si>
  <si>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</si>
  <si>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</si>
  <si>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</si>
  <si>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</si>
  <si>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</si>
  <si>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ha_peer_node</t>
  </si>
  <si>
    <t>HA Peer SBCE name</t>
  </si>
  <si>
    <t>ha_peer_ip</t>
  </si>
  <si>
    <t>HA Peer SBCE IP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</si>
  <si>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</si>
  <si>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</si>
  <si>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</si>
  <si>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</si>
  <si>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</si>
  <si>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</si>
  <si>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</si>
  <si>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SIP data interface default gateway</t>
  </si>
  <si>
    <t>sig_ip</t>
  </si>
  <si>
    <t>SIP data interface IP address</t>
  </si>
  <si>
    <t>EMS</t>
  </si>
  <si>
    <t>/home/custadm/sbce-10.2.0.0-86-24077-1.ova</t>
  </si>
  <si>
    <t>ems1</t>
  </si>
  <si>
    <t>10.10.48.10</t>
  </si>
  <si>
    <t>192.168.200.161</t>
  </si>
  <si>
    <t>sbce1</t>
  </si>
  <si>
    <t>SBCE</t>
  </si>
  <si>
    <t>10.10.48.11</t>
  </si>
  <si>
    <t>VLAN32</t>
  </si>
  <si>
    <t>A1_sig</t>
  </si>
  <si>
    <t>10.10.48.16</t>
  </si>
  <si>
    <t>ems2</t>
  </si>
  <si>
    <t>secondary</t>
  </si>
  <si>
    <t>10.10.48.20</t>
  </si>
  <si>
    <t>sbce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</si>
</sst>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62"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1" zoomScale="110" zoomScaleNormal="110" workbookViewId="0">
      <selection activeCell="B27" sqref="B27"/>
    </sheetView>
  </sheetViews>
  <sheetFormatPr defaultColWidth="8.5546875" defaultRowHeight="14.25" customHeight="1" x14ac:dyDescent="0.3"/>
  <cols>
    <col min="1" max="1" width="16.77734375" style="1" customWidth="1"/>
    <col min="2" max="2" width="43.77734375" style="1" customWidth="1"/>
    <col min="3" max="3" width="108.77734375" style="1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1" t="s">
        <v>123</v>
      </c>
      <c r="C2" s="1" t="s">
        <v>4</v>
      </c>
    </row>
    <row r="3" spans="1:3" ht="14.25" customHeight="1" x14ac:dyDescent="0.3">
      <c r="A3" s="1" t="s">
        <v>5</v>
      </c>
      <c r="B3" s="1" t="s">
        <v>6</v>
      </c>
      <c r="C3" s="1" t="s">
        <v>7</v>
      </c>
    </row>
    <row r="4" spans="1:3" ht="14.25" customHeight="1" x14ac:dyDescent="0.3">
      <c r="A4" s="1" t="s">
        <v>8</v>
      </c>
      <c r="B4" s="1" t="s">
        <v>9</v>
      </c>
      <c r="C4" s="1" t="s">
        <v>10</v>
      </c>
    </row>
    <row r="5" spans="1:3" ht="15.75" customHeight="1" x14ac:dyDescent="0.3">
      <c r="A5" s="1" t="s">
        <v>11</v>
      </c>
      <c r="B5" s="1" t="s">
        <v>12</v>
      </c>
      <c r="C5" s="1" t="s">
        <v>13</v>
      </c>
    </row>
    <row r="6" spans="1:3" ht="14.25" customHeight="1" x14ac:dyDescent="0.3">
      <c r="A6" s="1" t="s">
        <v>14</v>
      </c>
      <c r="B6" s="1" t="s">
        <v>120</v>
      </c>
      <c r="C6" s="1" t="s">
        <v>15</v>
      </c>
    </row>
    <row r="7" spans="1:3" ht="14.25" customHeight="1" x14ac:dyDescent="0.3">
      <c r="A7" s="1" t="s">
        <v>16</v>
      </c>
      <c r="B7" s="1" t="s">
        <v>121</v>
      </c>
      <c r="C7" s="1" t="s">
        <v>17</v>
      </c>
    </row>
    <row r="8" spans="1:3" ht="14.25" customHeight="1" x14ac:dyDescent="0.3">
      <c r="A8" s="1" t="s">
        <v>18</v>
      </c>
      <c r="B8" s="1" t="s">
        <v>19</v>
      </c>
      <c r="C8" s="1" t="s">
        <v>20</v>
      </c>
    </row>
    <row r="9" spans="1:3" ht="14.25" customHeight="1" x14ac:dyDescent="0.3">
      <c r="A9" s="1" t="s">
        <v>21</v>
      </c>
      <c r="B9" s="1" t="s">
        <v>121</v>
      </c>
      <c r="C9" s="1" t="s">
        <v>22</v>
      </c>
    </row>
    <row r="10" spans="1:3" ht="14.25" customHeight="1" x14ac:dyDescent="0.3">
      <c r="A10" s="1" t="s">
        <v>23</v>
      </c>
      <c r="B10" s="1" t="s">
        <v>119</v>
      </c>
      <c r="C10" s="1" t="s">
        <v>24</v>
      </c>
    </row>
    <row r="11" spans="1:3" ht="14.25" customHeight="1" x14ac:dyDescent="0.3">
      <c r="A11" s="1" t="s">
        <v>25</v>
      </c>
      <c r="B11" s="1" t="s">
        <v>121</v>
      </c>
      <c r="C11" s="1" t="s">
        <v>26</v>
      </c>
    </row>
    <row r="12" spans="1:3" ht="15.75" customHeight="1" x14ac:dyDescent="0.3">
      <c r="A12" s="1" t="s">
        <v>27</v>
      </c>
      <c r="B12" s="1" t="s">
        <v>28</v>
      </c>
      <c r="C12" s="1" t="s">
        <v>29</v>
      </c>
    </row>
    <row r="13" spans="1:3" ht="15.75" customHeight="1" x14ac:dyDescent="0.3">
      <c r="A13" s="1" t="s">
        <v>30</v>
      </c>
      <c r="B13" s="1" t="s">
        <v>31</v>
      </c>
      <c r="C13" s="1" t="s">
        <v>32</v>
      </c>
    </row>
    <row r="14" spans="1:3" ht="14.25" customHeight="1" x14ac:dyDescent="0.3">
      <c r="A14" s="1" t="s">
        <v>33</v>
      </c>
      <c r="B14" s="1" t="s">
        <v>122</v>
      </c>
      <c r="C14" s="1" t="s">
        <v>34</v>
      </c>
    </row>
    <row r="15" spans="1:3" ht="14.25" customHeight="1" x14ac:dyDescent="0.3">
      <c r="A15" s="1" t="s">
        <v>35</v>
      </c>
      <c r="B15" s="1" t="s">
        <v>36</v>
      </c>
      <c r="C15" s="1" t="s">
        <v>37</v>
      </c>
    </row>
    <row r="16" spans="1:3" ht="14.25" customHeight="1" x14ac:dyDescent="0.3">
      <c r="A16" s="1" t="s">
        <v>38</v>
      </c>
      <c r="B16" s="1" t="s">
        <v>39</v>
      </c>
      <c r="C16" s="1" t="s">
        <v>40</v>
      </c>
    </row>
    <row r="17" spans="1:3" ht="14.25" customHeight="1" x14ac:dyDescent="0.3">
      <c r="A17" s="1" t="s">
        <v>41</v>
      </c>
      <c r="C17" s="1" t="s">
        <v>42</v>
      </c>
    </row>
    <row r="18" spans="1:3" ht="14.25" customHeight="1" x14ac:dyDescent="0.3">
      <c r="A18" s="1" t="s">
        <v>43</v>
      </c>
      <c r="B18" s="2">
        <v>64</v>
      </c>
      <c r="C18" s="1" t="s">
        <v>44</v>
      </c>
    </row>
    <row r="19" spans="1:3" ht="14.25" customHeight="1" x14ac:dyDescent="0.3">
      <c r="A19" s="1" t="s">
        <v>45</v>
      </c>
      <c r="C19" s="1" t="s">
        <v>46</v>
      </c>
    </row>
    <row r="20" spans="1:3" ht="14.25" customHeight="1" x14ac:dyDescent="0.3">
      <c r="A20" s="1" t="s">
        <v>47</v>
      </c>
      <c r="B20" s="1" t="s">
        <v>48</v>
      </c>
      <c r="C20" s="1" t="s">
        <v>49</v>
      </c>
    </row>
    <row r="21" spans="1:3" ht="15.75" customHeight="1" x14ac:dyDescent="0.3">
      <c r="A21" s="1" t="s">
        <v>50</v>
      </c>
      <c r="B21" s="1" t="str">
        <f>_xlfn.CONCAT(B9, ".", B20)</f>
        <v>ems1.lab.local</v>
      </c>
      <c r="C21" s="1" t="s">
        <v>51</v>
      </c>
    </row>
    <row r="22" spans="1:3" ht="15.75" customHeight="1" x14ac:dyDescent="0.3">
      <c r="A22" s="1" t="s">
        <v>52</v>
      </c>
      <c r="B22" s="1" t="s">
        <v>53</v>
      </c>
      <c r="C22" s="1" t="s">
        <v>54</v>
      </c>
    </row>
    <row r="23" spans="1:3" ht="15.75" customHeight="1" x14ac:dyDescent="0.3">
      <c r="A23" s="1" t="s">
        <v>55</v>
      </c>
      <c r="B23" s="1" t="s">
        <v>56</v>
      </c>
      <c r="C23" s="1" t="s">
        <v>57</v>
      </c>
    </row>
    <row r="24" spans="1:3" ht="15.75" customHeight="1" x14ac:dyDescent="0.3">
      <c r="A24" s="1" t="s">
        <v>58</v>
      </c>
      <c r="B24" s="1" t="s">
        <v>56</v>
      </c>
      <c r="C24" s="1" t="s">
        <v>59</v>
      </c>
    </row>
    <row r="25" spans="1:3" ht="15.75" customHeight="1" x14ac:dyDescent="0.3">
      <c r="A25" s="1" t="s">
        <v>60</v>
      </c>
      <c r="B25" s="1" t="s">
        <v>61</v>
      </c>
      <c r="C25" s="1" t="s">
        <v>62</v>
      </c>
    </row>
    <row r="26" spans="1:3" ht="15.75" customHeight="1" x14ac:dyDescent="0.3">
      <c r="A26" s="1" t="s">
        <v>63</v>
      </c>
      <c r="B26" s="1" t="s">
        <v>64</v>
      </c>
      <c r="C26" s="1" t="s">
        <v>65</v>
      </c>
    </row>
    <row r="27" spans="1:3" ht="14.25" customHeight="1" x14ac:dyDescent="0.3">
      <c r="A27" s="1" t="s">
        <v>66</v>
      </c>
      <c r="B27" s="1" t="s">
        <v>67</v>
      </c>
      <c r="C27" s="1" t="s">
        <v>68</v>
      </c>
    </row>
    <row r="28" spans="1:3" ht="14.25" customHeight="1" x14ac:dyDescent="0.3">
      <c r="A28" s="1" t="s">
        <v>69</v>
      </c>
      <c r="B28" s="1" t="s">
        <v>70</v>
      </c>
      <c r="C28" s="1" t="s">
        <v>71</v>
      </c>
    </row>
    <row r="29" spans="1:3" ht="14.25" customHeight="1" x14ac:dyDescent="0.3">
      <c r="A29" s="1" t="s">
        <v>72</v>
      </c>
      <c r="C29" s="1" t="s">
        <v>73</v>
      </c>
    </row>
    <row r="30" spans="1:3" ht="14.25" customHeight="1" x14ac:dyDescent="0.3">
      <c r="A30" s="1" t="s">
        <v>74</v>
      </c>
      <c r="B30" s="1" t="s">
        <v>75</v>
      </c>
      <c r="C30" s="1" t="s">
        <v>76</v>
      </c>
    </row>
    <row r="31" spans="1:3" ht="14.25" customHeight="1" x14ac:dyDescent="0.3">
      <c r="A31" s="1" t="s">
        <v>77</v>
      </c>
      <c r="C31" s="1" t="s">
        <v>78</v>
      </c>
    </row>
    <row r="32" spans="1:3" ht="14.25" customHeight="1" x14ac:dyDescent="0.3">
      <c r="A32" s="1" t="s">
        <v>79</v>
      </c>
      <c r="C32" s="1" t="s">
        <v>80</v>
      </c>
    </row>
    <row r="33" spans="1:3" ht="14.25" customHeight="1" x14ac:dyDescent="0.3">
      <c r="A33" s="1" t="s">
        <v>81</v>
      </c>
      <c r="B33" s="1" t="s">
        <v>82</v>
      </c>
      <c r="C33" s="1" t="s">
        <v>83</v>
      </c>
    </row>
    <row r="34" spans="1:3" ht="14.25" customHeight="1" x14ac:dyDescent="0.3">
      <c r="A34" s="1" t="s">
        <v>84</v>
      </c>
      <c r="B34" s="1" t="s">
        <v>85</v>
      </c>
      <c r="C34" s="1" t="s">
        <v>86</v>
      </c>
    </row>
    <row r="35" spans="1:3" ht="14.25" customHeight="1" x14ac:dyDescent="0.3">
      <c r="A35" s="1" t="s">
        <v>87</v>
      </c>
      <c r="B35" s="1" t="s">
        <v>82</v>
      </c>
      <c r="C35" s="1" t="s">
        <v>88</v>
      </c>
    </row>
    <row r="36" spans="1:3" ht="14.25" customHeight="1" x14ac:dyDescent="0.3">
      <c r="A36" s="1" t="s">
        <v>89</v>
      </c>
      <c r="B36" s="1" t="s">
        <v>85</v>
      </c>
      <c r="C36" s="1" t="s">
        <v>90</v>
      </c>
    </row>
    <row r="37" spans="1:3" ht="14.25" customHeight="1" x14ac:dyDescent="0.3">
      <c r="A37" s="1" t="s">
        <v>91</v>
      </c>
      <c r="B37" s="1" t="s">
        <v>92</v>
      </c>
      <c r="C37" s="1" t="s">
        <v>93</v>
      </c>
    </row>
    <row r="38" spans="1:3" ht="14.25" customHeight="1" x14ac:dyDescent="0.3">
      <c r="A38" s="1" t="s">
        <v>94</v>
      </c>
      <c r="B38" s="1" t="s">
        <v>95</v>
      </c>
      <c r="C38" s="1" t="s">
        <v>96</v>
      </c>
    </row>
    <row r="39" spans="1:3" ht="14.25" customHeight="1" x14ac:dyDescent="0.3">
      <c r="A39" s="1" t="s">
        <v>97</v>
      </c>
      <c r="C39" s="1" t="s">
        <v>98</v>
      </c>
    </row>
    <row r="40" spans="1:3" ht="14.25" customHeight="1" x14ac:dyDescent="0.3">
      <c r="A40" s="1" t="s">
        <v>99</v>
      </c>
      <c r="C40" s="1" t="s">
        <v>100</v>
      </c>
    </row>
    <row r="41" spans="1:3" ht="14.25" customHeight="1" x14ac:dyDescent="0.3">
      <c r="A41" s="1" t="s">
        <v>101</v>
      </c>
      <c r="C41" s="1" t="s">
        <v>102</v>
      </c>
    </row>
    <row r="42" spans="1:3" ht="14.25" customHeight="1" x14ac:dyDescent="0.3">
      <c r="A42" s="1" t="s">
        <v>103</v>
      </c>
      <c r="C42" s="1" t="s">
        <v>104</v>
      </c>
    </row>
    <row r="43" spans="1:3" ht="14.25" customHeight="1" x14ac:dyDescent="0.3">
      <c r="A43" s="1" t="s">
        <v>105</v>
      </c>
      <c r="C43" s="1" t="s">
        <v>106</v>
      </c>
    </row>
    <row r="44" spans="1:3" ht="14.25" customHeight="1" x14ac:dyDescent="0.3">
      <c r="A44" s="1" t="s">
        <v>107</v>
      </c>
      <c r="C44" s="1" t="s">
        <v>108</v>
      </c>
    </row>
    <row r="45" spans="1:3" ht="14.25" customHeight="1" x14ac:dyDescent="0.3">
      <c r="A45" s="1" t="s">
        <v>109</v>
      </c>
      <c r="C45" s="1" t="s">
        <v>110</v>
      </c>
    </row>
    <row r="46" spans="1:3" ht="14.25" customHeight="1" x14ac:dyDescent="0.3">
      <c r="A46" s="1" t="s">
        <v>111</v>
      </c>
      <c r="C46" s="1" t="s">
        <v>112</v>
      </c>
    </row>
    <row r="47" spans="1:3" ht="14.25" customHeight="1" x14ac:dyDescent="0.3">
      <c r="A47" s="1" t="s">
        <v>113</v>
      </c>
      <c r="C47" s="1" t="s">
        <v>114</v>
      </c>
    </row>
    <row r="48" spans="1:3" ht="14.25" customHeight="1" x14ac:dyDescent="0.3">
      <c r="A48" s="1" t="s">
        <v>115</v>
      </c>
      <c r="C48" s="1" t="s">
        <v>116</v>
      </c>
    </row>
    <row r="49" spans="1:3" ht="14.25" customHeight="1" x14ac:dyDescent="0.3">
      <c r="A49" s="1" t="s">
        <v>117</v>
      </c>
      <c r="C49" s="1" t="s">
        <v>118</v>
      </c>
    </row>
  </sheetData>
  <conditionalFormatting sqref="B5">
    <cfRule type="expression" dxfId="61" priority="23">
      <formula>B1="KVM"</formula>
    </cfRule>
  </conditionalFormatting>
  <conditionalFormatting sqref="B12">
    <cfRule type="expression" dxfId="60" priority="22">
      <formula>B10="EMS+SBCE"</formula>
    </cfRule>
  </conditionalFormatting>
  <conditionalFormatting sqref="B13">
    <cfRule type="expression" dxfId="59" priority="2">
      <formula>B10&lt;&gt;"EMS"</formula>
    </cfRule>
  </conditionalFormatting>
  <conditionalFormatting sqref="B21">
    <cfRule type="expression" dxfId="58" priority="21">
      <formula>B10="SBCE"</formula>
    </cfRule>
  </conditionalFormatting>
  <conditionalFormatting sqref="B22">
    <cfRule type="expression" dxfId="57" priority="20">
      <formula>B10="SBCE"</formula>
    </cfRule>
  </conditionalFormatting>
  <conditionalFormatting sqref="B23">
    <cfRule type="expression" dxfId="56" priority="19">
      <formula>B10="SBCE"</formula>
    </cfRule>
  </conditionalFormatting>
  <conditionalFormatting sqref="B24">
    <cfRule type="expression" dxfId="55" priority="18">
      <formula>B10="SBCE"</formula>
    </cfRule>
  </conditionalFormatting>
  <conditionalFormatting sqref="B25">
    <cfRule type="expression" dxfId="54" priority="17">
      <formula>B10="SBCE"</formula>
    </cfRule>
  </conditionalFormatting>
  <conditionalFormatting sqref="B26">
    <cfRule type="expression" dxfId="53" priority="16">
      <formula>B10="SBCE"</formula>
    </cfRule>
  </conditionalFormatting>
  <conditionalFormatting sqref="B31">
    <cfRule type="expression" dxfId="52" priority="15">
      <formula>B10="EMS+SBCE"</formula>
    </cfRule>
  </conditionalFormatting>
  <conditionalFormatting sqref="B32">
    <cfRule type="expression" dxfId="51" priority="14">
      <formula>B10="EMS+SBCE"</formula>
    </cfRule>
  </conditionalFormatting>
  <conditionalFormatting sqref="B39">
    <cfRule type="expression" dxfId="50" priority="13">
      <formula>B10="EMS"</formula>
    </cfRule>
  </conditionalFormatting>
  <conditionalFormatting sqref="B40">
    <cfRule type="expression" dxfId="49" priority="12">
      <formula>B10="EMS"</formula>
    </cfRule>
  </conditionalFormatting>
  <conditionalFormatting sqref="B41">
    <cfRule type="expression" dxfId="48" priority="11">
      <formula>B10="EMS"</formula>
    </cfRule>
  </conditionalFormatting>
  <conditionalFormatting sqref="B42">
    <cfRule type="expression" dxfId="47" priority="10">
      <formula>B10="EMS"</formula>
    </cfRule>
  </conditionalFormatting>
  <conditionalFormatting sqref="B43">
    <cfRule type="expression" dxfId="46" priority="9">
      <formula>B10&lt;&gt;"SBCE"</formula>
    </cfRule>
  </conditionalFormatting>
  <conditionalFormatting sqref="B44">
    <cfRule type="expression" dxfId="45" priority="8">
      <formula>B10&lt;&gt;"SBCE"</formula>
    </cfRule>
  </conditionalFormatting>
  <conditionalFormatting sqref="B45">
    <cfRule type="expression" dxfId="44" priority="7">
      <formula>B10="EMS"</formula>
    </cfRule>
  </conditionalFormatting>
  <conditionalFormatting sqref="B46">
    <cfRule type="expression" dxfId="43" priority="6">
      <formula>B10="EMS"</formula>
    </cfRule>
  </conditionalFormatting>
  <conditionalFormatting sqref="B47">
    <cfRule type="expression" dxfId="42" priority="5">
      <formula>B10="EMS"</formula>
    </cfRule>
  </conditionalFormatting>
  <conditionalFormatting sqref="B48">
    <cfRule type="expression" dxfId="41" priority="4">
      <formula>B10="EMS"</formula>
    </cfRule>
  </conditionalFormatting>
  <conditionalFormatting sqref="B49">
    <cfRule type="expression" dxfId="40" priority="3">
      <formula>B10="EMS"</formula>
    </cfRule>
  </conditionalFormatting>
  <dataValidations count="14">
    <dataValidation type="list" allowBlank="1" showInputMessage="1" showErrorMessage="1" sqref="B1" xr:uid="{00000000-0002-0000-0100-000000000000}">
      <formula1>"ESXI,KVM"</formula1>
      <formula2>0</formula2>
    </dataValidation>
    <dataValidation type="list" allowBlank="1" showInputMessage="1" showErrorMessage="1" sqref="B10" xr:uid="{00000000-0002-0000-0100-000001000000}">
      <formula1>"EMS+SBCE,SBCE,EMS"</formula1>
      <formula2>0</formula2>
    </dataValidation>
    <dataValidation type="custom" allowBlank="1" showInputMessage="1" showErrorMessage="1" sqref="B12 B31:B32" xr:uid="{00000000-0002-0000-0100-000002000000}">
      <formula1>$B$10&lt;&gt;"EMS+SBCE"</formula1>
      <formula2>0</formula2>
    </dataValidation>
    <dataValidation type="list" allowBlank="1" showInputMessage="1" showErrorMessage="1" sqref="B13" xr:uid="{00000000-0002-0000-0100-000003000000}">
      <formula1>"primary,secondary"</formula1>
      <formula2>0</formula2>
    </dataValidation>
    <dataValidation operator="greaterThanOrEqual" allowBlank="1" showInputMessage="1" showErrorMessage="1" sqref="B2" xr:uid="{00000000-0002-0000-0100-000004000000}">
      <formula1>0</formula1>
      <formula2>0</formula2>
    </dataValidation>
    <dataValidation type="custom" allowBlank="1" showInputMessage="1" showErrorMessage="1" sqref="B21:B26" xr:uid="{00000000-0002-0000-0100-000005000000}">
      <formula1>$B$10&lt;&gt;"SBCE"</formula1>
      <formula2>0</formula2>
    </dataValidation>
    <dataValidation allowBlank="1" showInputMessage="1" showErrorMessage="1" promptTitle="Host IP or FQDN" sqref="B3" xr:uid="{00000000-0002-0000-0100-000006000000}">
      <formula1>0</formula1>
      <formula2>0</formula2>
    </dataValidation>
    <dataValidation type="textLength" operator="greaterThan" allowBlank="1" showInputMessage="1" showErrorMessage="1" sqref="B33:B35" xr:uid="{00000000-0002-0000-0100-000008000000}">
      <formula1>7</formula1>
      <formula2>0</formula2>
    </dataValidation>
    <dataValidation type="textLength" operator="greaterThan" allowBlank="1" showInputMessage="1" showErrorMessage="1" sqref="B36" xr:uid="{00000000-0002-0000-0100-000009000000}">
      <formula1>8</formula1>
      <formula2>0</formula2>
    </dataValidation>
    <dataValidation type="custom" allowBlank="1" showInputMessage="1" showErrorMessage="1" sqref="B39:B42 B46:B49" xr:uid="{00000000-0002-0000-0100-00000A000000}">
      <formula1>$B$10&lt;&gt;"EMS"</formula1>
      <formula2>0</formula2>
    </dataValidation>
    <dataValidation type="custom" allowBlank="1" showInputMessage="1" showErrorMessage="1" sqref="B43:B44" xr:uid="{00000000-0002-0000-0100-00000B000000}">
      <formula1>$B$10="SBCE"</formula1>
      <formula2>0</formula2>
    </dataValidation>
    <dataValidation type="list" allowBlank="1" showInputMessage="1" showErrorMessage="1" sqref="B45" xr:uid="{00000000-0002-0000-0100-00000C000000}">
      <formula1>"A1,A2,B1,B2"</formula1>
      <formula2>0</formula2>
    </dataValidation>
    <dataValidation type="custom" allowBlank="1" showInputMessage="1" showErrorMessage="1" sqref="B5" xr:uid="{00000000-0002-0000-0100-00000E000000}">
      <formula1>$B$1="ESXI"</formula1>
      <formula2>0</formula2>
    </dataValidation>
    <dataValidation type="list" allowBlank="1" showInputMessage="1" showErrorMessage="1" sqref="B8" xr:uid="{00000000-0002-0000-0100-00000F000000}">
      <formula1>"DUAL_STACK,IPV4"</formula1>
      <formula2>0</formula2>
    </dataValidation>
  </dataValidations>
  <pageMargins left="0.7" right="0.7" top="0.75" bottom="0.75" header="0.511811023622047" footer="0.511811023622047"/>
  <pageSetup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E7E6-3DAC-415E-9095-0B740C8AE0B9}">
  <dimension ref="A1:C49"/>
  <sheetViews>
    <sheetView topLeftCell="A26" zoomScale="110" zoomScaleNormal="110" workbookViewId="0">
      <selection activeCell="B36" sqref="B36"/>
    </sheetView>
  </sheetViews>
  <sheetFormatPr defaultColWidth="8.5546875" defaultRowHeight="14.25" customHeight="1" x14ac:dyDescent="0.3"/>
  <cols>
    <col min="1" max="1" width="16.77734375" style="1" customWidth="1"/>
    <col min="2" max="2" width="43.77734375" style="1" customWidth="1"/>
    <col min="3" max="3" width="108.77734375" style="1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1" t="s">
        <v>123</v>
      </c>
      <c r="C2" s="1" t="s">
        <v>4</v>
      </c>
    </row>
    <row r="3" spans="1:3" ht="14.25" customHeight="1" x14ac:dyDescent="0.3">
      <c r="A3" s="1" t="s">
        <v>5</v>
      </c>
      <c r="B3" s="1" t="s">
        <v>6</v>
      </c>
      <c r="C3" s="1" t="s">
        <v>7</v>
      </c>
    </row>
    <row r="4" spans="1:3" ht="14.25" customHeight="1" x14ac:dyDescent="0.3">
      <c r="A4" s="1" t="s">
        <v>8</v>
      </c>
      <c r="B4" s="1" t="s">
        <v>9</v>
      </c>
      <c r="C4" s="1" t="s">
        <v>10</v>
      </c>
    </row>
    <row r="5" spans="1:3" ht="15.75" customHeight="1" x14ac:dyDescent="0.3">
      <c r="A5" s="1" t="s">
        <v>11</v>
      </c>
      <c r="B5" s="1" t="s">
        <v>12</v>
      </c>
      <c r="C5" s="1" t="s">
        <v>13</v>
      </c>
    </row>
    <row r="6" spans="1:3" ht="14.25" customHeight="1" x14ac:dyDescent="0.3">
      <c r="A6" s="1" t="s">
        <v>14</v>
      </c>
      <c r="B6" s="1" t="s">
        <v>120</v>
      </c>
      <c r="C6" s="1" t="s">
        <v>15</v>
      </c>
    </row>
    <row r="7" spans="1:3" ht="14.25" customHeight="1" x14ac:dyDescent="0.3">
      <c r="A7" s="1" t="s">
        <v>16</v>
      </c>
      <c r="B7" s="1" t="s">
        <v>130</v>
      </c>
      <c r="C7" s="1" t="s">
        <v>17</v>
      </c>
    </row>
    <row r="8" spans="1:3" ht="14.25" customHeight="1" x14ac:dyDescent="0.3">
      <c r="A8" s="1" t="s">
        <v>18</v>
      </c>
      <c r="B8" s="1" t="s">
        <v>19</v>
      </c>
      <c r="C8" s="1" t="s">
        <v>20</v>
      </c>
    </row>
    <row r="9" spans="1:3" ht="14.25" customHeight="1" x14ac:dyDescent="0.3">
      <c r="A9" s="1" t="s">
        <v>21</v>
      </c>
      <c r="B9" s="1" t="s">
        <v>130</v>
      </c>
      <c r="C9" s="1" t="s">
        <v>22</v>
      </c>
    </row>
    <row r="10" spans="1:3" ht="14.25" customHeight="1" x14ac:dyDescent="0.3">
      <c r="A10" s="1" t="s">
        <v>23</v>
      </c>
      <c r="B10" s="1" t="s">
        <v>119</v>
      </c>
      <c r="C10" s="1" t="s">
        <v>24</v>
      </c>
    </row>
    <row r="11" spans="1:3" ht="14.25" customHeight="1" x14ac:dyDescent="0.3">
      <c r="A11" s="1" t="s">
        <v>25</v>
      </c>
      <c r="B11" s="1" t="s">
        <v>130</v>
      </c>
      <c r="C11" s="1" t="s">
        <v>26</v>
      </c>
    </row>
    <row r="12" spans="1:3" ht="15.75" customHeight="1" x14ac:dyDescent="0.3">
      <c r="A12" s="1" t="s">
        <v>27</v>
      </c>
      <c r="B12" s="1" t="s">
        <v>28</v>
      </c>
      <c r="C12" s="1" t="s">
        <v>29</v>
      </c>
    </row>
    <row r="13" spans="1:3" ht="15.75" customHeight="1" x14ac:dyDescent="0.3">
      <c r="A13" s="1" t="s">
        <v>30</v>
      </c>
      <c r="B13" s="1" t="s">
        <v>131</v>
      </c>
      <c r="C13" s="1" t="s">
        <v>32</v>
      </c>
    </row>
    <row r="14" spans="1:3" ht="14.25" customHeight="1" x14ac:dyDescent="0.3">
      <c r="A14" s="1" t="s">
        <v>33</v>
      </c>
      <c r="B14" s="1" t="s">
        <v>132</v>
      </c>
      <c r="C14" s="1" t="s">
        <v>34</v>
      </c>
    </row>
    <row r="15" spans="1:3" ht="14.25" customHeight="1" x14ac:dyDescent="0.3">
      <c r="A15" s="1" t="s">
        <v>35</v>
      </c>
      <c r="B15" s="1" t="s">
        <v>36</v>
      </c>
      <c r="C15" s="1" t="s">
        <v>37</v>
      </c>
    </row>
    <row r="16" spans="1:3" ht="14.25" customHeight="1" x14ac:dyDescent="0.3">
      <c r="A16" s="1" t="s">
        <v>38</v>
      </c>
      <c r="B16" s="1" t="s">
        <v>39</v>
      </c>
      <c r="C16" s="1" t="s">
        <v>40</v>
      </c>
    </row>
    <row r="17" spans="1:3" ht="14.25" customHeight="1" x14ac:dyDescent="0.3">
      <c r="A17" s="1" t="s">
        <v>41</v>
      </c>
      <c r="C17" s="1" t="s">
        <v>42</v>
      </c>
    </row>
    <row r="18" spans="1:3" ht="14.25" customHeight="1" x14ac:dyDescent="0.3">
      <c r="A18" s="1" t="s">
        <v>43</v>
      </c>
      <c r="B18" s="2">
        <v>64</v>
      </c>
      <c r="C18" s="1" t="s">
        <v>44</v>
      </c>
    </row>
    <row r="19" spans="1:3" ht="14.25" customHeight="1" x14ac:dyDescent="0.3">
      <c r="A19" s="1" t="s">
        <v>45</v>
      </c>
      <c r="C19" s="1" t="s">
        <v>46</v>
      </c>
    </row>
    <row r="20" spans="1:3" ht="14.25" customHeight="1" x14ac:dyDescent="0.3">
      <c r="A20" s="1" t="s">
        <v>47</v>
      </c>
      <c r="B20" s="1" t="s">
        <v>48</v>
      </c>
      <c r="C20" s="1" t="s">
        <v>49</v>
      </c>
    </row>
    <row r="21" spans="1:3" ht="15.75" customHeight="1" x14ac:dyDescent="0.3">
      <c r="A21" s="1" t="s">
        <v>50</v>
      </c>
      <c r="B21" s="1" t="str">
        <f>_xlfn.CONCAT(B9, ".", B20)</f>
        <v>ems2.lab.local</v>
      </c>
      <c r="C21" s="1" t="s">
        <v>51</v>
      </c>
    </row>
    <row r="22" spans="1:3" ht="15.75" customHeight="1" x14ac:dyDescent="0.3">
      <c r="A22" s="1" t="s">
        <v>52</v>
      </c>
      <c r="B22" s="1" t="s">
        <v>53</v>
      </c>
      <c r="C22" s="1" t="s">
        <v>54</v>
      </c>
    </row>
    <row r="23" spans="1:3" ht="15.75" customHeight="1" x14ac:dyDescent="0.3">
      <c r="A23" s="1" t="s">
        <v>55</v>
      </c>
      <c r="B23" s="1" t="s">
        <v>56</v>
      </c>
      <c r="C23" s="1" t="s">
        <v>57</v>
      </c>
    </row>
    <row r="24" spans="1:3" ht="15.75" customHeight="1" x14ac:dyDescent="0.3">
      <c r="A24" s="1" t="s">
        <v>58</v>
      </c>
      <c r="B24" s="1" t="s">
        <v>56</v>
      </c>
      <c r="C24" s="1" t="s">
        <v>59</v>
      </c>
    </row>
    <row r="25" spans="1:3" ht="15.75" customHeight="1" x14ac:dyDescent="0.3">
      <c r="A25" s="1" t="s">
        <v>60</v>
      </c>
      <c r="B25" s="1" t="s">
        <v>61</v>
      </c>
      <c r="C25" s="1" t="s">
        <v>62</v>
      </c>
    </row>
    <row r="26" spans="1:3" ht="15.75" customHeight="1" x14ac:dyDescent="0.3">
      <c r="A26" s="1" t="s">
        <v>63</v>
      </c>
      <c r="B26" s="1" t="s">
        <v>64</v>
      </c>
      <c r="C26" s="1" t="s">
        <v>65</v>
      </c>
    </row>
    <row r="27" spans="1:3" ht="14.25" customHeight="1" x14ac:dyDescent="0.3">
      <c r="A27" s="1" t="s">
        <v>66</v>
      </c>
      <c r="B27" s="1" t="s">
        <v>67</v>
      </c>
      <c r="C27" s="1" t="s">
        <v>68</v>
      </c>
    </row>
    <row r="28" spans="1:3" ht="14.25" customHeight="1" x14ac:dyDescent="0.3">
      <c r="A28" s="1" t="s">
        <v>69</v>
      </c>
      <c r="B28" s="1" t="s">
        <v>70</v>
      </c>
      <c r="C28" s="1" t="s">
        <v>71</v>
      </c>
    </row>
    <row r="29" spans="1:3" ht="14.25" customHeight="1" x14ac:dyDescent="0.3">
      <c r="A29" s="1" t="s">
        <v>72</v>
      </c>
      <c r="C29" s="1" t="s">
        <v>73</v>
      </c>
    </row>
    <row r="30" spans="1:3" ht="14.25" customHeight="1" x14ac:dyDescent="0.3">
      <c r="A30" s="1" t="s">
        <v>74</v>
      </c>
      <c r="B30" s="1" t="s">
        <v>75</v>
      </c>
      <c r="C30" s="1" t="s">
        <v>76</v>
      </c>
    </row>
    <row r="31" spans="1:3" ht="14.25" customHeight="1" x14ac:dyDescent="0.3">
      <c r="A31" s="1" t="s">
        <v>77</v>
      </c>
      <c r="B31" s="1" t="s">
        <v>122</v>
      </c>
      <c r="C31" s="1" t="s">
        <v>78</v>
      </c>
    </row>
    <row r="32" spans="1:3" ht="14.25" customHeight="1" x14ac:dyDescent="0.3">
      <c r="A32" s="1" t="s">
        <v>79</v>
      </c>
      <c r="C32" s="1" t="s">
        <v>80</v>
      </c>
    </row>
    <row r="33" spans="1:3" ht="14.25" customHeight="1" x14ac:dyDescent="0.3">
      <c r="A33" s="1" t="s">
        <v>81</v>
      </c>
      <c r="B33" s="1" t="s">
        <v>82</v>
      </c>
      <c r="C33" s="1" t="s">
        <v>83</v>
      </c>
    </row>
    <row r="34" spans="1:3" ht="14.25" customHeight="1" x14ac:dyDescent="0.3">
      <c r="A34" s="1" t="s">
        <v>84</v>
      </c>
      <c r="B34" s="1" t="s">
        <v>85</v>
      </c>
      <c r="C34" s="1" t="s">
        <v>86</v>
      </c>
    </row>
    <row r="35" spans="1:3" ht="14.25" customHeight="1" x14ac:dyDescent="0.3">
      <c r="A35" s="1" t="s">
        <v>87</v>
      </c>
      <c r="B35" s="1" t="s">
        <v>82</v>
      </c>
      <c r="C35" s="1" t="s">
        <v>88</v>
      </c>
    </row>
    <row r="36" spans="1:3" ht="14.25" customHeight="1" x14ac:dyDescent="0.3">
      <c r="A36" s="1" t="s">
        <v>89</v>
      </c>
      <c r="B36" s="1" t="s">
        <v>85</v>
      </c>
      <c r="C36" s="1" t="s">
        <v>90</v>
      </c>
    </row>
    <row r="37" spans="1:3" ht="14.25" customHeight="1" x14ac:dyDescent="0.3">
      <c r="A37" s="1" t="s">
        <v>91</v>
      </c>
      <c r="B37" s="1" t="s">
        <v>92</v>
      </c>
      <c r="C37" s="1" t="s">
        <v>93</v>
      </c>
    </row>
    <row r="38" spans="1:3" ht="14.25" customHeight="1" x14ac:dyDescent="0.3">
      <c r="A38" s="1" t="s">
        <v>94</v>
      </c>
      <c r="B38" s="1" t="s">
        <v>95</v>
      </c>
      <c r="C38" s="1" t="s">
        <v>96</v>
      </c>
    </row>
    <row r="39" spans="1:3" ht="14.25" customHeight="1" x14ac:dyDescent="0.3">
      <c r="A39" s="1" t="s">
        <v>97</v>
      </c>
      <c r="C39" s="1" t="s">
        <v>98</v>
      </c>
    </row>
    <row r="40" spans="1:3" ht="14.25" customHeight="1" x14ac:dyDescent="0.3">
      <c r="A40" s="1" t="s">
        <v>99</v>
      </c>
      <c r="C40" s="1" t="s">
        <v>100</v>
      </c>
    </row>
    <row r="41" spans="1:3" ht="14.25" customHeight="1" x14ac:dyDescent="0.3">
      <c r="A41" s="1" t="s">
        <v>101</v>
      </c>
      <c r="C41" s="1" t="s">
        <v>102</v>
      </c>
    </row>
    <row r="42" spans="1:3" ht="14.25" customHeight="1" x14ac:dyDescent="0.3">
      <c r="A42" s="1" t="s">
        <v>103</v>
      </c>
      <c r="C42" s="1" t="s">
        <v>104</v>
      </c>
    </row>
    <row r="43" spans="1:3" ht="14.25" customHeight="1" x14ac:dyDescent="0.3">
      <c r="A43" s="1" t="s">
        <v>105</v>
      </c>
      <c r="C43" s="1" t="s">
        <v>106</v>
      </c>
    </row>
    <row r="44" spans="1:3" ht="14.25" customHeight="1" x14ac:dyDescent="0.3">
      <c r="A44" s="1" t="s">
        <v>107</v>
      </c>
      <c r="C44" s="1" t="s">
        <v>108</v>
      </c>
    </row>
    <row r="45" spans="1:3" ht="14.25" customHeight="1" x14ac:dyDescent="0.3">
      <c r="A45" s="1" t="s">
        <v>109</v>
      </c>
      <c r="C45" s="1" t="s">
        <v>110</v>
      </c>
    </row>
    <row r="46" spans="1:3" ht="14.25" customHeight="1" x14ac:dyDescent="0.3">
      <c r="A46" s="1" t="s">
        <v>111</v>
      </c>
      <c r="C46" s="1" t="s">
        <v>112</v>
      </c>
    </row>
    <row r="47" spans="1:3" ht="14.25" customHeight="1" x14ac:dyDescent="0.3">
      <c r="A47" s="1" t="s">
        <v>113</v>
      </c>
      <c r="C47" s="1" t="s">
        <v>114</v>
      </c>
    </row>
    <row r="48" spans="1:3" ht="14.25" customHeight="1" x14ac:dyDescent="0.3">
      <c r="A48" s="1" t="s">
        <v>115</v>
      </c>
      <c r="C48" s="1" t="s">
        <v>116</v>
      </c>
    </row>
    <row r="49" spans="1:3" ht="14.25" customHeight="1" x14ac:dyDescent="0.3">
      <c r="A49" s="1" t="s">
        <v>117</v>
      </c>
      <c r="C49" s="1" t="s">
        <v>118</v>
      </c>
    </row>
  </sheetData>
  <conditionalFormatting sqref="B5">
    <cfRule type="expression" dxfId="21" priority="22">
      <formula>B1="KVM"</formula>
    </cfRule>
  </conditionalFormatting>
  <conditionalFormatting sqref="B12">
    <cfRule type="expression" dxfId="20" priority="21">
      <formula>B10="EMS+SBCE"</formula>
    </cfRule>
  </conditionalFormatting>
  <conditionalFormatting sqref="B13">
    <cfRule type="expression" dxfId="19" priority="1">
      <formula>B10&lt;&gt;"EMS"</formula>
    </cfRule>
  </conditionalFormatting>
  <conditionalFormatting sqref="B21">
    <cfRule type="expression" dxfId="18" priority="20">
      <formula>B10="SBCE"</formula>
    </cfRule>
  </conditionalFormatting>
  <conditionalFormatting sqref="B22">
    <cfRule type="expression" dxfId="17" priority="19">
      <formula>B10="SBCE"</formula>
    </cfRule>
  </conditionalFormatting>
  <conditionalFormatting sqref="B23">
    <cfRule type="expression" dxfId="16" priority="18">
      <formula>B10="SBCE"</formula>
    </cfRule>
  </conditionalFormatting>
  <conditionalFormatting sqref="B24">
    <cfRule type="expression" dxfId="15" priority="17">
      <formula>B10="SBCE"</formula>
    </cfRule>
  </conditionalFormatting>
  <conditionalFormatting sqref="B25">
    <cfRule type="expression" dxfId="14" priority="16">
      <formula>B10="SBCE"</formula>
    </cfRule>
  </conditionalFormatting>
  <conditionalFormatting sqref="B26">
    <cfRule type="expression" dxfId="13" priority="15">
      <formula>B10="SBCE"</formula>
    </cfRule>
  </conditionalFormatting>
  <conditionalFormatting sqref="B31">
    <cfRule type="expression" dxfId="12" priority="14">
      <formula>B10="EMS+SBCE"</formula>
    </cfRule>
  </conditionalFormatting>
  <conditionalFormatting sqref="B32">
    <cfRule type="expression" dxfId="11" priority="13">
      <formula>B10="EMS+SBCE"</formula>
    </cfRule>
  </conditionalFormatting>
  <conditionalFormatting sqref="B39">
    <cfRule type="expression" dxfId="10" priority="12">
      <formula>B10="EMS"</formula>
    </cfRule>
  </conditionalFormatting>
  <conditionalFormatting sqref="B40">
    <cfRule type="expression" dxfId="9" priority="11">
      <formula>B10="EMS"</formula>
    </cfRule>
  </conditionalFormatting>
  <conditionalFormatting sqref="B41">
    <cfRule type="expression" dxfId="8" priority="10">
      <formula>B10="EMS"</formula>
    </cfRule>
  </conditionalFormatting>
  <conditionalFormatting sqref="B42">
    <cfRule type="expression" dxfId="7" priority="9">
      <formula>B10="EMS"</formula>
    </cfRule>
  </conditionalFormatting>
  <conditionalFormatting sqref="B43">
    <cfRule type="expression" dxfId="6" priority="8">
      <formula>B10&lt;&gt;"SBCE"</formula>
    </cfRule>
  </conditionalFormatting>
  <conditionalFormatting sqref="B44">
    <cfRule type="expression" dxfId="5" priority="7">
      <formula>B10&lt;&gt;"SBCE"</formula>
    </cfRule>
  </conditionalFormatting>
  <conditionalFormatting sqref="B45">
    <cfRule type="expression" dxfId="4" priority="6">
      <formula>B10="EMS"</formula>
    </cfRule>
  </conditionalFormatting>
  <conditionalFormatting sqref="B46">
    <cfRule type="expression" dxfId="3" priority="5">
      <formula>B10="EMS"</formula>
    </cfRule>
  </conditionalFormatting>
  <conditionalFormatting sqref="B47">
    <cfRule type="expression" dxfId="2" priority="4">
      <formula>B10="EMS"</formula>
    </cfRule>
  </conditionalFormatting>
  <conditionalFormatting sqref="B48">
    <cfRule type="expression" dxfId="1" priority="3">
      <formula>B10="EMS"</formula>
    </cfRule>
  </conditionalFormatting>
  <conditionalFormatting sqref="B49">
    <cfRule type="expression" dxfId="0" priority="2">
      <formula>B10="EMS"</formula>
    </cfRule>
  </conditionalFormatting>
  <dataValidations count="14">
    <dataValidation type="list" allowBlank="1" showInputMessage="1" showErrorMessage="1" sqref="B8" xr:uid="{25262A78-FCBC-474B-9082-5DDFE7100CAB}">
      <formula1>"DUAL_STACK,IPV4"</formula1>
      <formula2>0</formula2>
    </dataValidation>
    <dataValidation type="custom" allowBlank="1" showInputMessage="1" showErrorMessage="1" sqref="B5" xr:uid="{BBEB1EFA-C198-4692-9F62-DD06F8ECB0AF}">
      <formula1>$B$1="ESXI"</formula1>
      <formula2>0</formula2>
    </dataValidation>
    <dataValidation type="list" allowBlank="1" showInputMessage="1" showErrorMessage="1" sqref="B45" xr:uid="{8037A0BF-D059-4F57-B6D8-12770EFB68CB}">
      <formula1>"A1,A2,B1,B2"</formula1>
      <formula2>0</formula2>
    </dataValidation>
    <dataValidation type="custom" allowBlank="1" showInputMessage="1" showErrorMessage="1" sqref="B43:B44" xr:uid="{C9AD2731-AA3C-4CA6-910D-6FCBD367087D}">
      <formula1>$B$10="SBCE"</formula1>
      <formula2>0</formula2>
    </dataValidation>
    <dataValidation type="custom" allowBlank="1" showInputMessage="1" showErrorMessage="1" sqref="B39:B42 B46:B49" xr:uid="{41B4E2B9-C24F-447F-BE86-CA95A502C823}">
      <formula1>$B$10&lt;&gt;"EMS"</formula1>
      <formula2>0</formula2>
    </dataValidation>
    <dataValidation type="textLength" operator="greaterThan" allowBlank="1" showInputMessage="1" showErrorMessage="1" sqref="B36" xr:uid="{884EF84F-F0CC-48D0-A036-CD095360EC0A}">
      <formula1>8</formula1>
      <formula2>0</formula2>
    </dataValidation>
    <dataValidation type="textLength" operator="greaterThan" allowBlank="1" showInputMessage="1" showErrorMessage="1" sqref="B33:B35" xr:uid="{4EE2DE54-804F-46E6-8941-357BE1DDF6D0}">
      <formula1>7</formula1>
      <formula2>0</formula2>
    </dataValidation>
    <dataValidation allowBlank="1" showInputMessage="1" showErrorMessage="1" promptTitle="Host IP or FQDN" sqref="B3" xr:uid="{FDCD6091-F476-4A47-95A1-9DFE0E6C9498}">
      <formula1>0</formula1>
      <formula2>0</formula2>
    </dataValidation>
    <dataValidation type="custom" allowBlank="1" showInputMessage="1" showErrorMessage="1" sqref="B21:B26" xr:uid="{6BE36A70-D169-4D18-837F-AB4368DCDC38}">
      <formula1>$B$10&lt;&gt;"SBCE"</formula1>
      <formula2>0</formula2>
    </dataValidation>
    <dataValidation operator="greaterThanOrEqual" allowBlank="1" showInputMessage="1" showErrorMessage="1" sqref="B2" xr:uid="{FD422A98-016B-44A8-BB3E-3751D593023A}">
      <formula1>0</formula1>
      <formula2>0</formula2>
    </dataValidation>
    <dataValidation type="list" allowBlank="1" showInputMessage="1" showErrorMessage="1" sqref="B13" xr:uid="{B5F5E22D-3920-4FF1-B9A6-AD112DB309EF}">
      <formula1>"primary,secondary"</formula1>
      <formula2>0</formula2>
    </dataValidation>
    <dataValidation type="custom" allowBlank="1" showInputMessage="1" showErrorMessage="1" sqref="B12 B31:B32" xr:uid="{0887D0C5-D545-487C-82C3-34599BA0EB8A}">
      <formula1>$B$10&lt;&gt;"EMS+SBCE"</formula1>
      <formula2>0</formula2>
    </dataValidation>
    <dataValidation type="list" allowBlank="1" showInputMessage="1" showErrorMessage="1" sqref="B10" xr:uid="{274DE180-D9F4-442A-822C-4B7623BAE747}">
      <formula1>"EMS+SBCE,SBCE,EMS"</formula1>
      <formula2>0</formula2>
    </dataValidation>
    <dataValidation type="list" allowBlank="1" showInputMessage="1" showErrorMessage="1" sqref="B1" xr:uid="{19B4EDA6-9A39-4176-AF1D-FADAFE0A55C5}">
      <formula1>"ESXI,KVM"</formula1>
      <formula2>0</formula2>
    </dataValidation>
  </dataValidations>
  <pageMargins left="0.7" right="0.7" top="0.75" bottom="0.75" header="0.511811023622047" footer="0.511811023622047"/>
  <pageSetup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A3BF-F21B-49D8-B26F-DA8ACFF67F85}">
  <dimension ref="A1:C49"/>
  <sheetViews>
    <sheetView tabSelected="1" workbookViewId="0">
      <selection activeCell="B6" sqref="B6"/>
    </sheetView>
  </sheetViews>
  <sheetFormatPr defaultRowHeight="14.4" x14ac:dyDescent="0.3"/>
  <cols>
    <col min="1" max="1" width="16.77734375" bestFit="1" customWidth="1"/>
    <col min="2" max="2" width="39.88671875" bestFit="1" customWidth="1"/>
    <col min="3" max="3" width="10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123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120</v>
      </c>
      <c r="C6" s="1" t="s">
        <v>15</v>
      </c>
    </row>
    <row r="7" spans="1:3" x14ac:dyDescent="0.3">
      <c r="A7" s="1" t="s">
        <v>16</v>
      </c>
      <c r="B7" s="1" t="s">
        <v>124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124</v>
      </c>
      <c r="C9" s="1" t="s">
        <v>22</v>
      </c>
    </row>
    <row r="10" spans="1:3" x14ac:dyDescent="0.3">
      <c r="A10" s="1" t="s">
        <v>23</v>
      </c>
      <c r="B10" s="1" t="s">
        <v>125</v>
      </c>
      <c r="C10" s="1" t="s">
        <v>24</v>
      </c>
    </row>
    <row r="11" spans="1:3" x14ac:dyDescent="0.3">
      <c r="A11" s="1" t="s">
        <v>25</v>
      </c>
      <c r="B11" s="1" t="s">
        <v>133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/>
      <c r="C13" s="1" t="s">
        <v>32</v>
      </c>
    </row>
    <row r="14" spans="1:3" x14ac:dyDescent="0.3">
      <c r="A14" s="1" t="s">
        <v>33</v>
      </c>
      <c r="B14" s="1" t="s">
        <v>126</v>
      </c>
      <c r="C14" s="1" t="s">
        <v>34</v>
      </c>
    </row>
    <row r="15" spans="1:3" x14ac:dyDescent="0.3">
      <c r="A15" s="1" t="s">
        <v>35</v>
      </c>
      <c r="B15" s="1" t="s">
        <v>36</v>
      </c>
      <c r="C15" s="1" t="s">
        <v>37</v>
      </c>
    </row>
    <row r="16" spans="1:3" x14ac:dyDescent="0.3">
      <c r="A16" s="1" t="s">
        <v>38</v>
      </c>
      <c r="B16" s="1" t="s">
        <v>39</v>
      </c>
      <c r="C16" s="1" t="s">
        <v>40</v>
      </c>
    </row>
    <row r="17" spans="1:3" x14ac:dyDescent="0.3">
      <c r="A17" s="1" t="s">
        <v>41</v>
      </c>
      <c r="B17" s="1"/>
      <c r="C17" s="1" t="s">
        <v>42</v>
      </c>
    </row>
    <row r="18" spans="1:3" x14ac:dyDescent="0.3">
      <c r="A18" s="1" t="s">
        <v>43</v>
      </c>
      <c r="B18" s="2">
        <v>64</v>
      </c>
      <c r="C18" s="1" t="s">
        <v>44</v>
      </c>
    </row>
    <row r="19" spans="1:3" x14ac:dyDescent="0.3">
      <c r="A19" s="1" t="s">
        <v>45</v>
      </c>
      <c r="B19" s="1"/>
      <c r="C19" s="1" t="s">
        <v>46</v>
      </c>
    </row>
    <row r="20" spans="1:3" x14ac:dyDescent="0.3">
      <c r="A20" s="1" t="s">
        <v>47</v>
      </c>
      <c r="B20" s="1" t="s">
        <v>48</v>
      </c>
      <c r="C20" s="1" t="s">
        <v>49</v>
      </c>
    </row>
    <row r="21" spans="1:3" x14ac:dyDescent="0.3">
      <c r="A21" s="1" t="s">
        <v>50</v>
      </c>
      <c r="B21" s="1"/>
      <c r="C21" s="1" t="s">
        <v>51</v>
      </c>
    </row>
    <row r="22" spans="1:3" x14ac:dyDescent="0.3">
      <c r="A22" s="1" t="s">
        <v>52</v>
      </c>
      <c r="B22" s="1"/>
      <c r="C22" s="1" t="s">
        <v>54</v>
      </c>
    </row>
    <row r="23" spans="1:3" x14ac:dyDescent="0.3">
      <c r="A23" s="1" t="s">
        <v>55</v>
      </c>
      <c r="B23" s="1"/>
      <c r="C23" s="1" t="s">
        <v>57</v>
      </c>
    </row>
    <row r="24" spans="1:3" x14ac:dyDescent="0.3">
      <c r="A24" s="1" t="s">
        <v>58</v>
      </c>
      <c r="B24" s="1"/>
      <c r="C24" s="1" t="s">
        <v>59</v>
      </c>
    </row>
    <row r="25" spans="1:3" x14ac:dyDescent="0.3">
      <c r="A25" s="1" t="s">
        <v>60</v>
      </c>
      <c r="B25" s="1"/>
      <c r="C25" s="1" t="s">
        <v>62</v>
      </c>
    </row>
    <row r="26" spans="1:3" x14ac:dyDescent="0.3">
      <c r="A26" s="1" t="s">
        <v>63</v>
      </c>
      <c r="B26" s="1"/>
      <c r="C26" s="1" t="s">
        <v>65</v>
      </c>
    </row>
    <row r="27" spans="1:3" x14ac:dyDescent="0.3">
      <c r="A27" s="1" t="s">
        <v>66</v>
      </c>
      <c r="B27" s="1" t="s">
        <v>67</v>
      </c>
      <c r="C27" s="1" t="s">
        <v>68</v>
      </c>
    </row>
    <row r="28" spans="1:3" x14ac:dyDescent="0.3">
      <c r="A28" s="1" t="s">
        <v>69</v>
      </c>
      <c r="B28" s="1" t="s">
        <v>70</v>
      </c>
      <c r="C28" s="1" t="s">
        <v>71</v>
      </c>
    </row>
    <row r="29" spans="1:3" x14ac:dyDescent="0.3">
      <c r="A29" s="1" t="s">
        <v>72</v>
      </c>
      <c r="B29" s="1"/>
      <c r="C29" s="1" t="s">
        <v>73</v>
      </c>
    </row>
    <row r="30" spans="1:3" x14ac:dyDescent="0.3">
      <c r="A30" s="1" t="s">
        <v>74</v>
      </c>
      <c r="B30" s="1" t="s">
        <v>75</v>
      </c>
      <c r="C30" s="1" t="s">
        <v>76</v>
      </c>
    </row>
    <row r="31" spans="1:3" x14ac:dyDescent="0.3">
      <c r="A31" s="1" t="s">
        <v>77</v>
      </c>
      <c r="B31" s="1" t="s">
        <v>122</v>
      </c>
      <c r="C31" s="1" t="s">
        <v>78</v>
      </c>
    </row>
    <row r="32" spans="1:3" x14ac:dyDescent="0.3">
      <c r="A32" s="1" t="s">
        <v>79</v>
      </c>
      <c r="B32" s="1"/>
      <c r="C32" s="1" t="s">
        <v>80</v>
      </c>
    </row>
    <row r="33" spans="1:3" x14ac:dyDescent="0.3">
      <c r="A33" s="1" t="s">
        <v>81</v>
      </c>
      <c r="B33" s="1" t="s">
        <v>82</v>
      </c>
      <c r="C33" s="1" t="s">
        <v>83</v>
      </c>
    </row>
    <row r="34" spans="1:3" x14ac:dyDescent="0.3">
      <c r="A34" s="1" t="s">
        <v>84</v>
      </c>
      <c r="B34" s="1" t="s">
        <v>85</v>
      </c>
      <c r="C34" s="1" t="s">
        <v>86</v>
      </c>
    </row>
    <row r="35" spans="1:3" x14ac:dyDescent="0.3">
      <c r="A35" s="1" t="s">
        <v>87</v>
      </c>
      <c r="B35" s="1" t="s">
        <v>82</v>
      </c>
      <c r="C35" s="1" t="s">
        <v>88</v>
      </c>
    </row>
    <row r="36" spans="1:3" x14ac:dyDescent="0.3">
      <c r="A36" s="1" t="s">
        <v>89</v>
      </c>
      <c r="B36" s="1" t="s">
        <v>85</v>
      </c>
      <c r="C36" s="1" t="s">
        <v>90</v>
      </c>
    </row>
    <row r="37" spans="1:3" x14ac:dyDescent="0.3">
      <c r="A37" s="1" t="s">
        <v>91</v>
      </c>
      <c r="B37" s="1" t="s">
        <v>92</v>
      </c>
      <c r="C37" s="1" t="s">
        <v>93</v>
      </c>
    </row>
    <row r="38" spans="1:3" x14ac:dyDescent="0.3">
      <c r="A38" s="1" t="s">
        <v>94</v>
      </c>
      <c r="B38" s="1" t="s">
        <v>95</v>
      </c>
      <c r="C38" s="1" t="s">
        <v>96</v>
      </c>
    </row>
    <row r="39" spans="1:3" x14ac:dyDescent="0.3">
      <c r="A39" s="1" t="s">
        <v>97</v>
      </c>
      <c r="B39" s="1" t="s">
        <v>92</v>
      </c>
      <c r="C39" s="1" t="s">
        <v>98</v>
      </c>
    </row>
    <row r="40" spans="1:3" x14ac:dyDescent="0.3">
      <c r="A40" s="1" t="s">
        <v>99</v>
      </c>
      <c r="B40" s="1" t="s">
        <v>92</v>
      </c>
      <c r="C40" s="1" t="s">
        <v>100</v>
      </c>
    </row>
    <row r="41" spans="1:3" x14ac:dyDescent="0.3">
      <c r="A41" s="1" t="s">
        <v>101</v>
      </c>
      <c r="B41" s="1" t="s">
        <v>127</v>
      </c>
      <c r="C41" s="1" t="s">
        <v>102</v>
      </c>
    </row>
    <row r="42" spans="1:3" x14ac:dyDescent="0.3">
      <c r="A42" s="1" t="s">
        <v>103</v>
      </c>
      <c r="B42" s="1" t="s">
        <v>127</v>
      </c>
      <c r="C42" s="1" t="s">
        <v>104</v>
      </c>
    </row>
    <row r="43" spans="1:3" x14ac:dyDescent="0.3">
      <c r="A43" s="1" t="s">
        <v>105</v>
      </c>
      <c r="B43" s="1"/>
      <c r="C43" s="1" t="s">
        <v>106</v>
      </c>
    </row>
    <row r="44" spans="1:3" x14ac:dyDescent="0.3">
      <c r="A44" s="1" t="s">
        <v>107</v>
      </c>
      <c r="B44" s="1"/>
      <c r="C44" s="1" t="s">
        <v>108</v>
      </c>
    </row>
    <row r="45" spans="1:3" x14ac:dyDescent="0.3">
      <c r="A45" s="1" t="s">
        <v>109</v>
      </c>
      <c r="B45" s="1" t="s">
        <v>97</v>
      </c>
      <c r="C45" s="1" t="s">
        <v>110</v>
      </c>
    </row>
    <row r="46" spans="1:3" x14ac:dyDescent="0.3">
      <c r="A46" s="1" t="s">
        <v>111</v>
      </c>
      <c r="B46" s="1" t="s">
        <v>128</v>
      </c>
      <c r="C46" s="1" t="s">
        <v>112</v>
      </c>
    </row>
    <row r="47" spans="1:3" x14ac:dyDescent="0.3">
      <c r="A47" s="1" t="s">
        <v>113</v>
      </c>
      <c r="B47" s="1" t="s">
        <v>36</v>
      </c>
      <c r="C47" s="1" t="s">
        <v>114</v>
      </c>
    </row>
    <row r="48" spans="1:3" x14ac:dyDescent="0.3">
      <c r="A48" s="1" t="s">
        <v>115</v>
      </c>
      <c r="B48" s="1" t="s">
        <v>39</v>
      </c>
      <c r="C48" s="1" t="s">
        <v>116</v>
      </c>
    </row>
    <row r="49" spans="1:3" x14ac:dyDescent="0.3">
      <c r="A49" s="1" t="s">
        <v>117</v>
      </c>
      <c r="B49" s="1" t="s">
        <v>129</v>
      </c>
      <c r="C49" s="1" t="s">
        <v>118</v>
      </c>
    </row>
  </sheetData>
  <conditionalFormatting sqref="B5">
    <cfRule type="expression" dxfId="39" priority="22">
      <formula>B1="KVM"</formula>
    </cfRule>
  </conditionalFormatting>
  <conditionalFormatting sqref="B12">
    <cfRule type="expression" dxfId="38" priority="21">
      <formula>B10="EMS+SBCE"</formula>
    </cfRule>
  </conditionalFormatting>
  <conditionalFormatting sqref="B13">
    <cfRule type="expression" dxfId="37" priority="1">
      <formula>B10&lt;&gt;"EMS"</formula>
    </cfRule>
  </conditionalFormatting>
  <conditionalFormatting sqref="B21">
    <cfRule type="expression" dxfId="36" priority="20">
      <formula>B10="SBCE"</formula>
    </cfRule>
  </conditionalFormatting>
  <conditionalFormatting sqref="B22">
    <cfRule type="expression" dxfId="35" priority="19">
      <formula>B10="SBCE"</formula>
    </cfRule>
  </conditionalFormatting>
  <conditionalFormatting sqref="B23">
    <cfRule type="expression" dxfId="34" priority="18">
      <formula>B10="SBCE"</formula>
    </cfRule>
  </conditionalFormatting>
  <conditionalFormatting sqref="B24">
    <cfRule type="expression" dxfId="33" priority="17">
      <formula>B10="SBCE"</formula>
    </cfRule>
  </conditionalFormatting>
  <conditionalFormatting sqref="B25">
    <cfRule type="expression" dxfId="32" priority="16">
      <formula>B10="SBCE"</formula>
    </cfRule>
  </conditionalFormatting>
  <conditionalFormatting sqref="B26">
    <cfRule type="expression" dxfId="31" priority="15">
      <formula>B10="SBCE"</formula>
    </cfRule>
  </conditionalFormatting>
  <conditionalFormatting sqref="B31">
    <cfRule type="expression" dxfId="30" priority="14">
      <formula>B10="EMS+SBCE"</formula>
    </cfRule>
  </conditionalFormatting>
  <conditionalFormatting sqref="B32">
    <cfRule type="expression" dxfId="29" priority="13">
      <formula>B10="EMS+SBCE"</formula>
    </cfRule>
  </conditionalFormatting>
  <conditionalFormatting sqref="B42">
    <cfRule type="expression" dxfId="28" priority="9">
      <formula>B10="EMS"</formula>
    </cfRule>
  </conditionalFormatting>
  <conditionalFormatting sqref="B43">
    <cfRule type="expression" dxfId="27" priority="8">
      <formula>B10&lt;&gt;"SBCE"</formula>
    </cfRule>
  </conditionalFormatting>
  <conditionalFormatting sqref="B44">
    <cfRule type="expression" dxfId="26" priority="7">
      <formula>B10&lt;&gt;"SBCE"</formula>
    </cfRule>
  </conditionalFormatting>
  <conditionalFormatting sqref="B45">
    <cfRule type="expression" dxfId="25" priority="6">
      <formula>B10="EMS"</formula>
    </cfRule>
  </conditionalFormatting>
  <conditionalFormatting sqref="B46">
    <cfRule type="expression" dxfId="24" priority="5">
      <formula>B10="EMS"</formula>
    </cfRule>
  </conditionalFormatting>
  <conditionalFormatting sqref="B47">
    <cfRule type="expression" dxfId="23" priority="4">
      <formula>B10="EMS"</formula>
    </cfRule>
  </conditionalFormatting>
  <conditionalFormatting sqref="B48:B49">
    <cfRule type="expression" dxfId="22" priority="3">
      <formula>B10="EMS"</formula>
    </cfRule>
  </conditionalFormatting>
  <dataValidations count="14">
    <dataValidation type="list" allowBlank="1" showInputMessage="1" showErrorMessage="1" sqref="B8" xr:uid="{D9AE8862-452F-4320-9DD0-B54A04D3245D}">
      <formula1>"DUAL_STACK,IPV4"</formula1>
      <formula2>0</formula2>
    </dataValidation>
    <dataValidation type="custom" allowBlank="1" showInputMessage="1" showErrorMessage="1" sqref="B5" xr:uid="{CB4548F3-6F61-4B39-AFE6-50724C9F9E1D}">
      <formula1>$B$1="ESXI"</formula1>
      <formula2>0</formula2>
    </dataValidation>
    <dataValidation type="list" allowBlank="1" showInputMessage="1" showErrorMessage="1" sqref="B45" xr:uid="{1D9524B0-7A25-48FF-9866-50B5D28DF885}">
      <formula1>"A1,A2,B1,B2"</formula1>
      <formula2>0</formula2>
    </dataValidation>
    <dataValidation type="custom" allowBlank="1" showInputMessage="1" showErrorMessage="1" sqref="B43:B44" xr:uid="{A389CC7A-806F-44EE-A5E9-85571A1844C5}">
      <formula1>$B$10="SBCE"</formula1>
      <formula2>0</formula2>
    </dataValidation>
    <dataValidation type="custom" allowBlank="1" showInputMessage="1" showErrorMessage="1" sqref="B42 B46:B49" xr:uid="{38FA02BD-1F5D-49F8-A79F-170DCFE887A5}">
      <formula1>$B$10&lt;&gt;"EMS"</formula1>
      <formula2>0</formula2>
    </dataValidation>
    <dataValidation type="textLength" operator="greaterThan" allowBlank="1" showInputMessage="1" showErrorMessage="1" sqref="B36" xr:uid="{C9BD25F1-3F94-4B31-B6B0-054308F38092}">
      <formula1>8</formula1>
      <formula2>0</formula2>
    </dataValidation>
    <dataValidation type="textLength" operator="greaterThan" allowBlank="1" showInputMessage="1" showErrorMessage="1" sqref="B33:B35" xr:uid="{C7D02BB7-3651-4307-BBB3-C1285BB34F64}">
      <formula1>7</formula1>
      <formula2>0</formula2>
    </dataValidation>
    <dataValidation allowBlank="1" showInputMessage="1" showErrorMessage="1" promptTitle="Host IP or FQDN" sqref="B3" xr:uid="{BE2BE0C2-DA91-4C50-8E63-3A50C8968F1D}">
      <formula1>0</formula1>
      <formula2>0</formula2>
    </dataValidation>
    <dataValidation type="custom" allowBlank="1" showInputMessage="1" showErrorMessage="1" sqref="B21:B26" xr:uid="{EC52E315-E46D-4892-86F8-F0808F2F8A22}">
      <formula1>$B$10&lt;&gt;"SBCE"</formula1>
      <formula2>0</formula2>
    </dataValidation>
    <dataValidation operator="greaterThanOrEqual" allowBlank="1" showInputMessage="1" showErrorMessage="1" sqref="B2" xr:uid="{3A03F466-3CAA-466C-BB03-0D2AF954F267}">
      <formula1>0</formula1>
      <formula2>0</formula2>
    </dataValidation>
    <dataValidation type="list" allowBlank="1" showInputMessage="1" showErrorMessage="1" sqref="B13" xr:uid="{C1A39133-9468-4EAD-A4D5-5AD26E45990E}">
      <formula1>"primary,secondary"</formula1>
      <formula2>0</formula2>
    </dataValidation>
    <dataValidation type="custom" allowBlank="1" showInputMessage="1" showErrorMessage="1" sqref="B12 B31:B32" xr:uid="{68953F39-F0C8-42CC-B7CC-DD78C54C1C73}">
      <formula1>$B$10&lt;&gt;"EMS+SBCE"</formula1>
      <formula2>0</formula2>
    </dataValidation>
    <dataValidation type="list" allowBlank="1" showInputMessage="1" showErrorMessage="1" sqref="B10" xr:uid="{9D7BAC88-8C25-4AD8-8C8A-C8381FE8DC29}">
      <formula1>"EMS+SBCE,SBCE,EMS"</formula1>
      <formula2>0</formula2>
    </dataValidation>
    <dataValidation type="list" allowBlank="1" showInputMessage="1" showErrorMessage="1" sqref="B1" xr:uid="{C17940B3-5088-4CE8-A83A-0C54710AEEA0}">
      <formula1>"ESXI,KVM"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EMS1</vt:lpstr>
      <vt:lpstr>EMS2</vt:lpstr>
      <vt:lpstr>SBCE1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Sabi  Szokoly</cp:lastModifiedBy>
  <cp:revision>22</cp:revision>
  <dcterms:created xsi:type="dcterms:W3CDTF">2026-03-01T21:26:14Z</dcterms:created>
  <dcterms:modified xsi:type="dcterms:W3CDTF">2026-05-15T17:36:14Z</dcterms:modified>
  <dc:language>en-US</dc:language>
</cp:coreProperties>
</file>