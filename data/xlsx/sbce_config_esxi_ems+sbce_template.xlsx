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zokoly\Downloads\"/>
    </mc:Choice>
  </mc:AlternateContent>
  <xr:revisionPtr revIDLastSave="0" documentId="13_ncr:1_{6F79BFCA-759C-43F8-8B6C-05F2BCF3F230}" xr6:coauthVersionLast="47" xr6:coauthVersionMax="47" xr10:uidLastSave="{00000000-0000-0000-0000-000000000000}"/>
  <bookViews>
    <workbookView xWindow="-108" yWindow="-108" windowWidth="23256" windowHeight="12456" xr2:uid="{B9974296-33B4-464A-B6B3-E66B7C96D59B}"/>
  </bookViews>
  <sheets>
    <sheet name="SBCE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</calcChain>
</file>

<file path=xl/sharedStrings.xml><?xml version="1.0" encoding="utf-8"?>
<sst xmlns="http://schemas.openxmlformats.org/spreadsheetml/2006/main" count="138" uniqueCount="128">
  <si>
    <t>datastore</t>
  </si>
  <si>
    <t>Datastore Name</t>
  </si>
  <si>
    <t>ipmode</t>
  </si>
  <si>
    <t>DUAL_STACK</t>
  </si>
  <si>
    <t>IP Mode: - IP Mode for Device [IPV4/DUAL_STACK]</t>
  </si>
  <si>
    <t>hostname</t>
  </si>
  <si>
    <t>Hostname: (*) - Hostname of Device. (Hostname may only contain letters, numbers, and hyphens. May not begin or end with hyphens.)</t>
  </si>
  <si>
    <t>apptype</t>
  </si>
  <si>
    <t>Appliance Type: - Appliance Type of device.e.g. SBCE, EMS, EMS+SBCE/SingleBox</t>
  </si>
  <si>
    <t>nwpass</t>
  </si>
  <si>
    <t>avaya</t>
  </si>
  <si>
    <t>Network Passphrase: - Network Passphrase for Device</t>
  </si>
  <si>
    <t>ems_inst_type</t>
  </si>
  <si>
    <t>EMS Instance Type [none/primary/secondary]: - (NOT FOR SBCE DEPLOYMENT) EMS Install Type</t>
  </si>
  <si>
    <t>ip0</t>
  </si>
  <si>
    <t>Management IPv4 Address: (*) - The IPv4 address for the management interface.</t>
  </si>
  <si>
    <t>netmask0</t>
  </si>
  <si>
    <t>Netmask: (*) - The IPv4 netmask for the management interface.</t>
  </si>
  <si>
    <t>gateway</t>
  </si>
  <si>
    <t>Default gateway: (*) - The IPv4 gateway for the management interface.</t>
  </si>
  <si>
    <t>ipv6address0</t>
  </si>
  <si>
    <t>IPv6 Address: - (Optional) The IPv6 address for the management interface.</t>
  </si>
  <si>
    <t>ipv6prefix0</t>
  </si>
  <si>
    <t>IPv6 Prefix: - (Optional) The IPv6 prefix for the management interface.</t>
  </si>
  <si>
    <t>ipv6gateway</t>
  </si>
  <si>
    <t>IPv6 Gateway: - (Optional) The IPv6 gateway for the management interface.</t>
  </si>
  <si>
    <t>timezone</t>
  </si>
  <si>
    <t>ntpservers</t>
  </si>
  <si>
    <t>NTP Server Address: - The IPv4 address for NTP servers.</t>
  </si>
  <si>
    <t>ntpipv6</t>
  </si>
  <si>
    <t>NTP Server Address IPv6: - (For DUAL_STACK Mode Only) The IPv6 address for NTP server.</t>
  </si>
  <si>
    <t>dns</t>
  </si>
  <si>
    <t>DNS Address: - The IPv4 address list for DNS servers.</t>
  </si>
  <si>
    <t>emsip</t>
  </si>
  <si>
    <t>EMS IP Address: (*) - IPv4 address of the EMS System. (Not for Primary EMS and SingleBox deployments.)</t>
  </si>
  <si>
    <t>emsip_v6</t>
  </si>
  <si>
    <t>(Optional)EMS IPv6 Address: - IPv6 address for the EMS System.</t>
  </si>
  <si>
    <t>rootpass</t>
  </si>
  <si>
    <t>r00t10_cmb@Dm1n</t>
  </si>
  <si>
    <t>Root Password (*) - root password for Device.</t>
  </si>
  <si>
    <t>ipcspass</t>
  </si>
  <si>
    <t>sbc10_cmb@Dm1n</t>
  </si>
  <si>
    <t>Ipcs Password: (*) - ipcs password for Device.</t>
  </si>
  <si>
    <t>grubpass</t>
  </si>
  <si>
    <t>Grub password: (*) - grub password for Device.</t>
  </si>
  <si>
    <t>vmname</t>
  </si>
  <si>
    <t>ha_peer_node</t>
  </si>
  <si>
    <t>ha_peer_ip</t>
  </si>
  <si>
    <t>HA Peer SBCE name</t>
  </si>
  <si>
    <t>HA Peer SBCE IP</t>
  </si>
  <si>
    <t>Host IP address or FQDN</t>
  </si>
  <si>
    <t>appname</t>
  </si>
  <si>
    <t>Appliance Name</t>
  </si>
  <si>
    <t>domain_suffix</t>
  </si>
  <si>
    <t>first_last_name</t>
  </si>
  <si>
    <t>organization</t>
  </si>
  <si>
    <t>organizational_unit</t>
  </si>
  <si>
    <t>locality</t>
  </si>
  <si>
    <t>state_province</t>
  </si>
  <si>
    <t>country</t>
  </si>
  <si>
    <t>ovf</t>
  </si>
  <si>
    <t>Path to OVA</t>
  </si>
  <si>
    <t>VM name</t>
  </si>
  <si>
    <t>Domain name</t>
  </si>
  <si>
    <t>CN name, usually hostname + domain_suffix (NOT FOR SBCE DEPLOYMENT)</t>
  </si>
  <si>
    <t>Organizational Unit (NOT FOR SBCE DEPLOYMENT)</t>
  </si>
  <si>
    <t>Organization (NOT FOR SBCE DEPLOYMENT)</t>
  </si>
  <si>
    <t>City or Locality (NOT FOR SBCE DEPLOYMENT)</t>
  </si>
  <si>
    <t>State or Province (NOT FOR SBCE DEPLOYMENT)</t>
  </si>
  <si>
    <t>Country Code (2 letter code) (NOT FOR SBCE DEPLOYMENT)</t>
  </si>
  <si>
    <t>ucsecpass</t>
  </si>
  <si>
    <t>Web ucsec account password</t>
  </si>
  <si>
    <t>M1</t>
  </si>
  <si>
    <t>M2</t>
  </si>
  <si>
    <t>A1</t>
  </si>
  <si>
    <t>A1 NIC Port-group / Bridge name</t>
  </si>
  <si>
    <t>A2</t>
  </si>
  <si>
    <t>A2 NIC Port-group / Bridge name</t>
  </si>
  <si>
    <t>B1</t>
  </si>
  <si>
    <t>B1 NIC Port-group / Bridge name</t>
  </si>
  <si>
    <t>B2</t>
  </si>
  <si>
    <t>B2 NIC Port-group / Bridge name</t>
  </si>
  <si>
    <t>sig_iface</t>
  </si>
  <si>
    <t>SIP data interace (A1, A2, B1, B2)</t>
  </si>
  <si>
    <t>sig_name</t>
  </si>
  <si>
    <t>SIP data interface name</t>
  </si>
  <si>
    <t>sig_mask</t>
  </si>
  <si>
    <t>SIP data interface mask</t>
  </si>
  <si>
    <t>sig_gw</t>
  </si>
  <si>
    <t>sig_ip</t>
  </si>
  <si>
    <t>Host type</t>
  </si>
  <si>
    <t>Host user name</t>
  </si>
  <si>
    <t>Host user password</t>
  </si>
  <si>
    <t>platform_type</t>
  </si>
  <si>
    <t>platform_address</t>
  </si>
  <si>
    <t>platform_username</t>
  </si>
  <si>
    <t>platform_password</t>
  </si>
  <si>
    <t>primary</t>
  </si>
  <si>
    <t>M2 NIC Port-group / Bridge name</t>
  </si>
  <si>
    <t>M1 NIC Port-group / Bridge name</t>
  </si>
  <si>
    <t>EMS+SBCE</t>
  </si>
  <si>
    <t>SIP data interface IP address</t>
  </si>
  <si>
    <t>SIP data interface default gateway</t>
  </si>
  <si>
    <t>ESXI</t>
  </si>
  <si>
    <t>cmb@Dm1n</t>
  </si>
  <si>
    <t>root</t>
  </si>
  <si>
    <t>datastore1</t>
  </si>
  <si>
    <t>sbce-vm</t>
  </si>
  <si>
    <t>10.10.48.180</t>
  </si>
  <si>
    <t>255.255.255.0</t>
  </si>
  <si>
    <t>10.10.48.254</t>
  </si>
  <si>
    <t>IT</t>
  </si>
  <si>
    <t>LAB</t>
  </si>
  <si>
    <t>AB</t>
  </si>
  <si>
    <t>CA</t>
  </si>
  <si>
    <t>10.10.48.250</t>
  </si>
  <si>
    <t>10.10.48.92</t>
  </si>
  <si>
    <t>VLAN48</t>
  </si>
  <si>
    <t>Duplication</t>
  </si>
  <si>
    <t>VLAN32</t>
  </si>
  <si>
    <t>10.10.48.181</t>
  </si>
  <si>
    <t>A1_sig</t>
  </si>
  <si>
    <t>sbcems</t>
  </si>
  <si>
    <t>lab.local</t>
  </si>
  <si>
    <t>~/Projects/sbce-automation/data/ova/sbce-10.2.0.0-86-24077-1.ova</t>
  </si>
  <si>
    <t>192.168.200.161</t>
  </si>
  <si>
    <t>Time Zone - Time Zone in which device is located  (for example America/Edmonton)</t>
  </si>
  <si>
    <t>America/Edmonton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</si>
</sst>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C5153-2081-4742-A378-369888560B47}">
  <dimension ref="A1:C49"/>
  <sheetViews>
    <sheetView tabSelected="1" workbookViewId="0">
      <selection activeCell="B23" sqref="B23"/>
    </sheetView>
  </sheetViews>
  <sheetFormatPr defaultRowHeight="14.4" x14ac:dyDescent="0.3"/>
  <cols>
    <col min="1" max="1" width="16.77734375" bestFit="1" customWidth="1"/>
    <col min="2" max="2" width="70.21875" customWidth="1"/>
    <col min="3" max="3" width="108.77734375" bestFit="1" customWidth="1"/>
  </cols>
  <sheetData>
    <row r="1" spans="1:3" x14ac:dyDescent="0.3">
      <c r="A1" t="s">
        <v>93</v>
      </c>
      <c r="B1" t="s">
        <v>103</v>
      </c>
      <c r="C1" t="s">
        <v>90</v>
      </c>
    </row>
    <row r="2" spans="1:3" x14ac:dyDescent="0.3">
      <c r="A2" t="s">
        <v>94</v>
      </c>
      <c r="B2" t="s">
        <v>125</v>
      </c>
      <c r="C2" t="s">
        <v>50</v>
      </c>
    </row>
    <row r="3" spans="1:3" x14ac:dyDescent="0.3">
      <c r="A3" t="s">
        <v>95</v>
      </c>
      <c r="B3" t="s">
        <v>105</v>
      </c>
      <c r="C3" t="s">
        <v>91</v>
      </c>
    </row>
    <row r="4" spans="1:3" x14ac:dyDescent="0.3">
      <c r="A4" t="s">
        <v>96</v>
      </c>
      <c r="B4" t="s">
        <v>104</v>
      </c>
      <c r="C4" t="s">
        <v>92</v>
      </c>
    </row>
    <row r="5" spans="1:3" x14ac:dyDescent="0.3">
      <c r="A5" t="s">
        <v>0</v>
      </c>
      <c r="B5" t="s">
        <v>106</v>
      </c>
      <c r="C5" t="s">
        <v>1</v>
      </c>
    </row>
    <row r="6" spans="1:3" x14ac:dyDescent="0.3">
      <c r="A6" t="s">
        <v>60</v>
      </c>
      <c r="B6" t="s">
        <v>124</v>
      </c>
      <c r="C6" t="s">
        <v>61</v>
      </c>
    </row>
    <row r="7" spans="1:3" x14ac:dyDescent="0.3">
      <c r="A7" t="s">
        <v>45</v>
      </c>
      <c r="B7" t="s">
        <v>107</v>
      </c>
      <c r="C7" t="s">
        <v>62</v>
      </c>
    </row>
    <row r="8" spans="1:3" x14ac:dyDescent="0.3">
      <c r="A8" t="s">
        <v>2</v>
      </c>
      <c r="B8" t="s">
        <v>3</v>
      </c>
      <c r="C8" t="s">
        <v>4</v>
      </c>
    </row>
    <row r="9" spans="1:3" x14ac:dyDescent="0.3">
      <c r="A9" t="s">
        <v>5</v>
      </c>
      <c r="B9" t="s">
        <v>122</v>
      </c>
      <c r="C9" t="s">
        <v>6</v>
      </c>
    </row>
    <row r="10" spans="1:3" x14ac:dyDescent="0.3">
      <c r="A10" t="s">
        <v>7</v>
      </c>
      <c r="B10" t="s">
        <v>100</v>
      </c>
      <c r="C10" t="s">
        <v>8</v>
      </c>
    </row>
    <row r="11" spans="1:3" x14ac:dyDescent="0.3">
      <c r="A11" t="s">
        <v>51</v>
      </c>
      <c r="B11" t="s">
        <v>122</v>
      </c>
      <c r="C11" t="s">
        <v>52</v>
      </c>
    </row>
    <row r="12" spans="1:3" x14ac:dyDescent="0.3">
      <c r="A12" t="s">
        <v>9</v>
      </c>
      <c r="B12" t="s">
        <v>10</v>
      </c>
      <c r="C12" t="s">
        <v>11</v>
      </c>
    </row>
    <row r="13" spans="1:3" x14ac:dyDescent="0.3">
      <c r="A13" t="s">
        <v>12</v>
      </c>
      <c r="B13" t="s">
        <v>97</v>
      </c>
      <c r="C13" t="s">
        <v>13</v>
      </c>
    </row>
    <row r="14" spans="1:3" x14ac:dyDescent="0.3">
      <c r="A14" t="s">
        <v>14</v>
      </c>
      <c r="B14" t="s">
        <v>108</v>
      </c>
      <c r="C14" t="s">
        <v>15</v>
      </c>
    </row>
    <row r="15" spans="1:3" x14ac:dyDescent="0.3">
      <c r="A15" t="s">
        <v>16</v>
      </c>
      <c r="B15" t="s">
        <v>109</v>
      </c>
      <c r="C15" t="s">
        <v>17</v>
      </c>
    </row>
    <row r="16" spans="1:3" x14ac:dyDescent="0.3">
      <c r="A16" t="s">
        <v>18</v>
      </c>
      <c r="B16" t="s">
        <v>110</v>
      </c>
      <c r="C16" t="s">
        <v>19</v>
      </c>
    </row>
    <row r="17" spans="1:3" x14ac:dyDescent="0.3">
      <c r="A17" t="s">
        <v>20</v>
      </c>
      <c r="C17" t="s">
        <v>21</v>
      </c>
    </row>
    <row r="18" spans="1:3" x14ac:dyDescent="0.3">
      <c r="A18" t="s">
        <v>22</v>
      </c>
      <c r="B18" s="1">
        <v>64</v>
      </c>
      <c r="C18" t="s">
        <v>23</v>
      </c>
    </row>
    <row r="19" spans="1:3" x14ac:dyDescent="0.3">
      <c r="A19" t="s">
        <v>24</v>
      </c>
      <c r="C19" t="s">
        <v>25</v>
      </c>
    </row>
    <row r="20" spans="1:3" x14ac:dyDescent="0.3">
      <c r="A20" t="s">
        <v>53</v>
      </c>
      <c r="B20" t="s">
        <v>123</v>
      </c>
      <c r="C20" t="s">
        <v>63</v>
      </c>
    </row>
    <row r="21" spans="1:3" x14ac:dyDescent="0.3">
      <c r="A21" t="s">
        <v>54</v>
      </c>
      <c r="B21" t="str">
        <f>_xlfn.CONCAT(B9, ".", B20)</f>
        <v>sbcems.lab.local</v>
      </c>
      <c r="C21" t="s">
        <v>64</v>
      </c>
    </row>
    <row r="22" spans="1:3" x14ac:dyDescent="0.3">
      <c r="A22" t="s">
        <v>56</v>
      </c>
      <c r="B22" t="s">
        <v>111</v>
      </c>
      <c r="C22" t="s">
        <v>65</v>
      </c>
    </row>
    <row r="23" spans="1:3" x14ac:dyDescent="0.3">
      <c r="A23" t="s">
        <v>55</v>
      </c>
      <c r="B23" t="s">
        <v>112</v>
      </c>
      <c r="C23" t="s">
        <v>66</v>
      </c>
    </row>
    <row r="24" spans="1:3" x14ac:dyDescent="0.3">
      <c r="A24" t="s">
        <v>57</v>
      </c>
      <c r="B24" t="s">
        <v>112</v>
      </c>
      <c r="C24" t="s">
        <v>67</v>
      </c>
    </row>
    <row r="25" spans="1:3" x14ac:dyDescent="0.3">
      <c r="A25" t="s">
        <v>58</v>
      </c>
      <c r="B25" t="s">
        <v>113</v>
      </c>
      <c r="C25" t="s">
        <v>68</v>
      </c>
    </row>
    <row r="26" spans="1:3" x14ac:dyDescent="0.3">
      <c r="A26" t="s">
        <v>59</v>
      </c>
      <c r="B26" t="s">
        <v>114</v>
      </c>
      <c r="C26" t="s">
        <v>69</v>
      </c>
    </row>
    <row r="27" spans="1:3" x14ac:dyDescent="0.3">
      <c r="A27" t="s">
        <v>26</v>
      </c>
      <c r="B27" t="s">
        <v>127</v>
      </c>
      <c r="C27" t="s">
        <v>126</v>
      </c>
    </row>
    <row r="28" spans="1:3" x14ac:dyDescent="0.3">
      <c r="A28" t="s">
        <v>27</v>
      </c>
      <c r="B28" t="s">
        <v>115</v>
      </c>
      <c r="C28" t="s">
        <v>28</v>
      </c>
    </row>
    <row r="29" spans="1:3" x14ac:dyDescent="0.3">
      <c r="A29" t="s">
        <v>29</v>
      </c>
      <c r="C29" t="s">
        <v>30</v>
      </c>
    </row>
    <row r="30" spans="1:3" x14ac:dyDescent="0.3">
      <c r="A30" t="s">
        <v>31</v>
      </c>
      <c r="B30" t="s">
        <v>116</v>
      </c>
      <c r="C30" t="s">
        <v>32</v>
      </c>
    </row>
    <row r="31" spans="1:3" x14ac:dyDescent="0.3">
      <c r="A31" t="s">
        <v>33</v>
      </c>
      <c r="C31" t="s">
        <v>34</v>
      </c>
    </row>
    <row r="32" spans="1:3" x14ac:dyDescent="0.3">
      <c r="A32" t="s">
        <v>35</v>
      </c>
      <c r="C32" t="s">
        <v>36</v>
      </c>
    </row>
    <row r="33" spans="1:3" x14ac:dyDescent="0.3">
      <c r="A33" t="s">
        <v>37</v>
      </c>
      <c r="B33" t="s">
        <v>38</v>
      </c>
      <c r="C33" t="s">
        <v>39</v>
      </c>
    </row>
    <row r="34" spans="1:3" x14ac:dyDescent="0.3">
      <c r="A34" t="s">
        <v>40</v>
      </c>
      <c r="B34" t="s">
        <v>41</v>
      </c>
      <c r="C34" t="s">
        <v>42</v>
      </c>
    </row>
    <row r="35" spans="1:3" x14ac:dyDescent="0.3">
      <c r="A35" t="s">
        <v>43</v>
      </c>
      <c r="B35" t="s">
        <v>38</v>
      </c>
      <c r="C35" t="s">
        <v>44</v>
      </c>
    </row>
    <row r="36" spans="1:3" x14ac:dyDescent="0.3">
      <c r="A36" t="s">
        <v>70</v>
      </c>
      <c r="B36" t="s">
        <v>41</v>
      </c>
      <c r="C36" t="s">
        <v>71</v>
      </c>
    </row>
    <row r="37" spans="1:3" x14ac:dyDescent="0.3">
      <c r="A37" t="s">
        <v>72</v>
      </c>
      <c r="B37" t="s">
        <v>117</v>
      </c>
      <c r="C37" t="s">
        <v>99</v>
      </c>
    </row>
    <row r="38" spans="1:3" x14ac:dyDescent="0.3">
      <c r="A38" t="s">
        <v>73</v>
      </c>
      <c r="B38" t="s">
        <v>118</v>
      </c>
      <c r="C38" t="s">
        <v>98</v>
      </c>
    </row>
    <row r="39" spans="1:3" x14ac:dyDescent="0.3">
      <c r="A39" t="s">
        <v>74</v>
      </c>
      <c r="B39" t="s">
        <v>117</v>
      </c>
      <c r="C39" t="s">
        <v>75</v>
      </c>
    </row>
    <row r="40" spans="1:3" x14ac:dyDescent="0.3">
      <c r="A40" t="s">
        <v>76</v>
      </c>
      <c r="B40" t="s">
        <v>117</v>
      </c>
      <c r="C40" t="s">
        <v>77</v>
      </c>
    </row>
    <row r="41" spans="1:3" x14ac:dyDescent="0.3">
      <c r="A41" t="s">
        <v>78</v>
      </c>
      <c r="B41" t="s">
        <v>119</v>
      </c>
      <c r="C41" t="s">
        <v>79</v>
      </c>
    </row>
    <row r="42" spans="1:3" x14ac:dyDescent="0.3">
      <c r="A42" t="s">
        <v>80</v>
      </c>
      <c r="B42" t="s">
        <v>119</v>
      </c>
      <c r="C42" t="s">
        <v>81</v>
      </c>
    </row>
    <row r="43" spans="1:3" x14ac:dyDescent="0.3">
      <c r="A43" t="s">
        <v>46</v>
      </c>
      <c r="C43" t="s">
        <v>48</v>
      </c>
    </row>
    <row r="44" spans="1:3" x14ac:dyDescent="0.3">
      <c r="A44" t="s">
        <v>47</v>
      </c>
      <c r="C44" t="s">
        <v>49</v>
      </c>
    </row>
    <row r="45" spans="1:3" x14ac:dyDescent="0.3">
      <c r="A45" t="s">
        <v>82</v>
      </c>
      <c r="B45" t="s">
        <v>74</v>
      </c>
      <c r="C45" t="s">
        <v>83</v>
      </c>
    </row>
    <row r="46" spans="1:3" x14ac:dyDescent="0.3">
      <c r="A46" t="s">
        <v>84</v>
      </c>
      <c r="B46" t="s">
        <v>121</v>
      </c>
      <c r="C46" t="s">
        <v>85</v>
      </c>
    </row>
    <row r="47" spans="1:3" x14ac:dyDescent="0.3">
      <c r="A47" t="s">
        <v>86</v>
      </c>
      <c r="B47" t="s">
        <v>109</v>
      </c>
      <c r="C47" t="s">
        <v>87</v>
      </c>
    </row>
    <row r="48" spans="1:3" x14ac:dyDescent="0.3">
      <c r="A48" t="s">
        <v>88</v>
      </c>
      <c r="B48" t="s">
        <v>110</v>
      </c>
      <c r="C48" t="s">
        <v>102</v>
      </c>
    </row>
    <row r="49" spans="1:3" x14ac:dyDescent="0.3">
      <c r="A49" t="s">
        <v>89</v>
      </c>
      <c r="B49" t="s">
        <v>120</v>
      </c>
      <c r="C49" t="s">
        <v>101</v>
      </c>
    </row>
  </sheetData>
  <conditionalFormatting sqref="B5">
    <cfRule type="expression" dxfId="22" priority="24">
      <formula>B1="KVM"</formula>
    </cfRule>
  </conditionalFormatting>
  <conditionalFormatting sqref="B12">
    <cfRule type="expression" dxfId="21" priority="23">
      <formula>B10="EMS+SBCE"</formula>
    </cfRule>
  </conditionalFormatting>
  <conditionalFormatting sqref="B13">
    <cfRule type="expression" dxfId="20" priority="1">
      <formula>B10&lt;&gt;"EMS"</formula>
    </cfRule>
  </conditionalFormatting>
  <conditionalFormatting sqref="B21">
    <cfRule type="expression" dxfId="19" priority="21">
      <formula>B10="SBCE"</formula>
    </cfRule>
  </conditionalFormatting>
  <conditionalFormatting sqref="B22">
    <cfRule type="expression" dxfId="18" priority="20">
      <formula>B10="SBCE"</formula>
    </cfRule>
  </conditionalFormatting>
  <conditionalFormatting sqref="B23">
    <cfRule type="expression" dxfId="17" priority="19">
      <formula>B10="SBCE"</formula>
    </cfRule>
  </conditionalFormatting>
  <conditionalFormatting sqref="B24">
    <cfRule type="expression" dxfId="16" priority="18">
      <formula>B10="SBCE"</formula>
    </cfRule>
  </conditionalFormatting>
  <conditionalFormatting sqref="B25">
    <cfRule type="expression" dxfId="15" priority="17">
      <formula>B10="SBCE"</formula>
    </cfRule>
  </conditionalFormatting>
  <conditionalFormatting sqref="B26">
    <cfRule type="expression" dxfId="14" priority="16">
      <formula>B10="SBCE"</formula>
    </cfRule>
  </conditionalFormatting>
  <conditionalFormatting sqref="B31">
    <cfRule type="expression" dxfId="13" priority="15">
      <formula>B10="EMS+SBCE"</formula>
    </cfRule>
  </conditionalFormatting>
  <conditionalFormatting sqref="B32">
    <cfRule type="expression" dxfId="12" priority="14">
      <formula>B10="EMS+SBCE"</formula>
    </cfRule>
  </conditionalFormatting>
  <conditionalFormatting sqref="B39">
    <cfRule type="expression" dxfId="11" priority="13">
      <formula>B10="EMS"</formula>
    </cfRule>
  </conditionalFormatting>
  <conditionalFormatting sqref="B40">
    <cfRule type="expression" dxfId="10" priority="12">
      <formula>B10="EMS"</formula>
    </cfRule>
  </conditionalFormatting>
  <conditionalFormatting sqref="B41">
    <cfRule type="expression" dxfId="9" priority="11">
      <formula>B10="EMS"</formula>
    </cfRule>
  </conditionalFormatting>
  <conditionalFormatting sqref="B42">
    <cfRule type="expression" dxfId="8" priority="10">
      <formula>B10="EMS"</formula>
    </cfRule>
  </conditionalFormatting>
  <conditionalFormatting sqref="B43">
    <cfRule type="expression" dxfId="7" priority="9">
      <formula>B10&lt;&gt;"SBCE"</formula>
    </cfRule>
  </conditionalFormatting>
  <conditionalFormatting sqref="B44">
    <cfRule type="expression" dxfId="6" priority="8">
      <formula>B10&lt;&gt;"SBCE"</formula>
    </cfRule>
  </conditionalFormatting>
  <conditionalFormatting sqref="B45">
    <cfRule type="expression" dxfId="5" priority="7">
      <formula>B10="EMS"</formula>
    </cfRule>
  </conditionalFormatting>
  <conditionalFormatting sqref="B46">
    <cfRule type="expression" dxfId="4" priority="6">
      <formula>B10="EMS"</formula>
    </cfRule>
  </conditionalFormatting>
  <conditionalFormatting sqref="B47">
    <cfRule type="expression" dxfId="3" priority="5">
      <formula>B10="EMS"</formula>
    </cfRule>
  </conditionalFormatting>
  <conditionalFormatting sqref="B48">
    <cfRule type="expression" dxfId="2" priority="4">
      <formula>B10="EMS"</formula>
    </cfRule>
  </conditionalFormatting>
  <conditionalFormatting sqref="B49">
    <cfRule type="expression" dxfId="1" priority="3">
      <formula>B10="EMS"</formula>
    </cfRule>
  </conditionalFormatting>
  <conditionalFormatting sqref="B50">
    <cfRule type="expression" dxfId="0" priority="2">
      <formula>B10="EMS"</formula>
    </cfRule>
  </conditionalFormatting>
  <dataValidations count="15">
    <dataValidation allowBlank="1" showInputMessage="1" showErrorMessage="1" promptTitle="Host IP or FQDN" sqref="B3" xr:uid="{392BA8B5-DFCE-4FAD-B98D-8723D09F28FD}"/>
    <dataValidation type="list" allowBlank="1" showInputMessage="1" showErrorMessage="1" sqref="B8" xr:uid="{EBC16548-B245-4CF4-939A-FDA1B969F099}">
      <formula1>"DUAL_STACK,IPV4"</formula1>
    </dataValidation>
    <dataValidation type="textLength" operator="lessThan" allowBlank="1" showInputMessage="1" showErrorMessage="1" sqref="B11" xr:uid="{8D0C82A1-92F9-4D92-984E-E31181D72A49}">
      <formula1>21</formula1>
    </dataValidation>
    <dataValidation type="list" allowBlank="1" showInputMessage="1" showErrorMessage="1" sqref="B1" xr:uid="{5A574EEA-ADF1-4FFB-ACA2-17FCEA8094CD}">
      <formula1>"ESXI,KVM"</formula1>
    </dataValidation>
    <dataValidation type="list" allowBlank="1" showInputMessage="1" showErrorMessage="1" sqref="B10" xr:uid="{80DC45CB-068F-4FBD-B3C8-4ABE944DC6ED}">
      <formula1>"EMS+SBCE,SBCE,EMS"</formula1>
    </dataValidation>
    <dataValidation type="list" allowBlank="1" showInputMessage="1" showErrorMessage="1" sqref="B13" xr:uid="{9E9590C0-45C5-4BD8-9C2E-FE8C612E3CFE}">
      <formula1>"primary,secondary"</formula1>
    </dataValidation>
    <dataValidation type="list" allowBlank="1" showInputMessage="1" showErrorMessage="1" sqref="B45" xr:uid="{6617306C-E92F-4A25-8274-DA7845B13381}">
      <formula1>"A1,A2,B1,B2"</formula1>
    </dataValidation>
    <dataValidation type="custom" allowBlank="1" showInputMessage="1" showErrorMessage="1" sqref="B5" xr:uid="{8F97596A-C92B-4D5D-A04F-2BA11D7593A6}">
      <formula1>$B$1="ESXI"</formula1>
    </dataValidation>
    <dataValidation type="custom" allowBlank="1" showInputMessage="1" showErrorMessage="1" sqref="B12 B31 B32" xr:uid="{8C8535BF-93DC-4848-9137-7B1AA5EE720F}">
      <formula1>$B$10&lt;&gt;"EMS+SBCE"</formula1>
    </dataValidation>
    <dataValidation type="custom" allowBlank="1" showInputMessage="1" showErrorMessage="1" sqref="B21 B22 B23 B24 B25 B26" xr:uid="{2A141C2C-0280-4199-A350-7F8284E8D5E3}">
      <formula1>$B$10&lt;&gt;"SBCE"</formula1>
    </dataValidation>
    <dataValidation type="custom" allowBlank="1" showInputMessage="1" showErrorMessage="1" sqref="B39 B40 B41 B42 B46 B47 B48 B49 B50" xr:uid="{2ACC0FDE-CD74-4F6F-A3A3-DAA46DB91C3F}">
      <formula1>$B$10&lt;&gt;"EMS"</formula1>
    </dataValidation>
    <dataValidation type="custom" allowBlank="1" showInputMessage="1" showErrorMessage="1" sqref="B43 B44" xr:uid="{D1FAA816-C04B-4EEA-A967-354B27FB605B}">
      <formula1>$B$10="SBCE"</formula1>
    </dataValidation>
    <dataValidation operator="greaterThanOrEqual" allowBlank="1" showInputMessage="1" showErrorMessage="1" sqref="B2" xr:uid="{BE5743C8-CDDC-48BE-9E23-0BFF1F54E08C}"/>
    <dataValidation type="textLength" operator="greaterThan" allowBlank="1" showInputMessage="1" showErrorMessage="1" sqref="B34 B33 B35" xr:uid="{E10DCD02-B673-4228-8B85-3573B3EFEE1D}">
      <formula1>7</formula1>
    </dataValidation>
    <dataValidation type="textLength" operator="greaterThan" allowBlank="1" showInputMessage="1" showErrorMessage="1" sqref="B36" xr:uid="{2486B4FA-546B-45E1-8DA1-543A58FE49D7}">
      <formula1>8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SBCEMS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Sabi  Szokoly</cp:lastModifiedBy>
  <dcterms:created xsi:type="dcterms:W3CDTF">2026-03-01T21:26:14Z</dcterms:created>
  <dcterms:modified xsi:type="dcterms:W3CDTF">2026-04-24T18:14:12Z</dcterms:modified>
</cp:coreProperties>
</file>